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0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1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6B0176E6-8036-40B4-B945-0564450CAC31}" xr6:coauthVersionLast="47" xr6:coauthVersionMax="47" xr10:uidLastSave="{00000000-0000-0000-0000-000000000000}"/>
  <bookViews>
    <workbookView xWindow="0" yWindow="363" windowWidth="20098" windowHeight="10670" tabRatio="893" activeTab="7" xr2:uid="{00000000-000D-0000-FFFF-FFFF00000000}"/>
  </bookViews>
  <sheets>
    <sheet name="Top" sheetId="2" r:id="rId1"/>
    <sheet name="Middle" sheetId="1" r:id="rId2"/>
    <sheet name="Bottom" sheetId="3" r:id="rId3"/>
    <sheet name="Schweppes" sheetId="4" r:id="rId4"/>
    <sheet name="Fluorescein" sheetId="5" r:id="rId5"/>
    <sheet name="Rhodomine" sheetId="7" r:id="rId6"/>
    <sheet name="Nile Blue" sheetId="8" r:id="rId7"/>
    <sheet name="FWHM" sheetId="9" r:id="rId8"/>
    <sheet name="FOV" sheetId="12" r:id="rId9"/>
    <sheet name="Raxial" sheetId="14" r:id="rId10"/>
    <sheet name="Angle Tilt" sheetId="17" r:id="rId11"/>
    <sheet name="Focus" sheetId="16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/>
  <c r="E10" i="2"/>
  <c r="E11" i="2" s="1"/>
  <c r="E12" i="2"/>
  <c r="E9" i="2"/>
  <c r="E13" i="3"/>
  <c r="N18" i="17" l="1"/>
  <c r="G9" i="17"/>
  <c r="G10" i="17"/>
  <c r="O15" i="17"/>
  <c r="O18" i="17" s="1"/>
  <c r="P15" i="17"/>
  <c r="P18" i="17" s="1"/>
  <c r="Q15" i="17"/>
  <c r="Q18" i="17" s="1"/>
  <c r="O16" i="17"/>
  <c r="O19" i="17" s="1"/>
  <c r="P16" i="17"/>
  <c r="P19" i="17" s="1"/>
  <c r="Q16" i="17"/>
  <c r="Q19" i="17" s="1"/>
  <c r="O17" i="17"/>
  <c r="P17" i="17"/>
  <c r="Q17" i="17"/>
  <c r="N17" i="17"/>
  <c r="N16" i="17"/>
  <c r="N15" i="17"/>
  <c r="N19" i="17" s="1"/>
  <c r="O6" i="17"/>
  <c r="O10" i="17" s="1"/>
  <c r="P6" i="17"/>
  <c r="P9" i="17" s="1"/>
  <c r="Q6" i="17"/>
  <c r="Q9" i="17" s="1"/>
  <c r="O7" i="17"/>
  <c r="P7" i="17"/>
  <c r="Q7" i="17"/>
  <c r="O8" i="17"/>
  <c r="O9" i="17" s="1"/>
  <c r="P8" i="17"/>
  <c r="Q8" i="17"/>
  <c r="N8" i="17"/>
  <c r="N7" i="17"/>
  <c r="N10" i="17" s="1"/>
  <c r="N6" i="17"/>
  <c r="N9" i="17" s="1"/>
  <c r="E15" i="17"/>
  <c r="E18" i="17" s="1"/>
  <c r="F15" i="17"/>
  <c r="F18" i="17" s="1"/>
  <c r="G15" i="17"/>
  <c r="G18" i="17" s="1"/>
  <c r="E16" i="17"/>
  <c r="E19" i="17" s="1"/>
  <c r="F16" i="17"/>
  <c r="F19" i="17" s="1"/>
  <c r="G16" i="17"/>
  <c r="G19" i="17" s="1"/>
  <c r="E17" i="17"/>
  <c r="F17" i="17"/>
  <c r="G17" i="17"/>
  <c r="D17" i="17"/>
  <c r="D16" i="17"/>
  <c r="D19" i="17" s="1"/>
  <c r="D15" i="17"/>
  <c r="D18" i="17" s="1"/>
  <c r="E6" i="17"/>
  <c r="E9" i="17" s="1"/>
  <c r="F6" i="17"/>
  <c r="F10" i="17" s="1"/>
  <c r="G6" i="17"/>
  <c r="E7" i="17"/>
  <c r="F7" i="17"/>
  <c r="G7" i="17"/>
  <c r="E8" i="17"/>
  <c r="F8" i="17"/>
  <c r="G8" i="17"/>
  <c r="D8" i="17"/>
  <c r="D7" i="17"/>
  <c r="D10" i="17" s="1"/>
  <c r="D6" i="17"/>
  <c r="D9" i="17" s="1"/>
  <c r="O15" i="16"/>
  <c r="P15" i="16"/>
  <c r="Q15" i="16"/>
  <c r="O16" i="16"/>
  <c r="P16" i="16"/>
  <c r="Q16" i="16"/>
  <c r="O17" i="16"/>
  <c r="P17" i="16"/>
  <c r="Q17" i="16"/>
  <c r="N17" i="16"/>
  <c r="N16" i="16"/>
  <c r="N15" i="16"/>
  <c r="O6" i="16"/>
  <c r="P6" i="16"/>
  <c r="Q6" i="16"/>
  <c r="O7" i="16"/>
  <c r="P7" i="16"/>
  <c r="Q7" i="16"/>
  <c r="O8" i="16"/>
  <c r="P8" i="16"/>
  <c r="Q8" i="16"/>
  <c r="N8" i="16"/>
  <c r="N7" i="16"/>
  <c r="N6" i="16"/>
  <c r="E15" i="16"/>
  <c r="F15" i="16"/>
  <c r="G15" i="16"/>
  <c r="E16" i="16"/>
  <c r="F16" i="16"/>
  <c r="G16" i="16"/>
  <c r="E17" i="16"/>
  <c r="F17" i="16"/>
  <c r="G17" i="16"/>
  <c r="D17" i="16"/>
  <c r="D16" i="16"/>
  <c r="D15" i="16"/>
  <c r="E6" i="16"/>
  <c r="F6" i="16"/>
  <c r="G6" i="16"/>
  <c r="D6" i="16"/>
  <c r="E8" i="16"/>
  <c r="F8" i="16"/>
  <c r="G8" i="16"/>
  <c r="D8" i="16"/>
  <c r="E7" i="16"/>
  <c r="F7" i="16"/>
  <c r="G7" i="16"/>
  <c r="D7" i="16"/>
  <c r="N6" i="9"/>
  <c r="E21" i="2"/>
  <c r="E24" i="2" s="1"/>
  <c r="O7" i="9"/>
  <c r="P7" i="9"/>
  <c r="Q7" i="9"/>
  <c r="O8" i="9"/>
  <c r="P8" i="9"/>
  <c r="Q8" i="9"/>
  <c r="O16" i="9"/>
  <c r="P16" i="9"/>
  <c r="Q16" i="9"/>
  <c r="O17" i="9"/>
  <c r="P17" i="9"/>
  <c r="Q17" i="9"/>
  <c r="E16" i="9"/>
  <c r="F16" i="9"/>
  <c r="G16" i="9"/>
  <c r="E17" i="9"/>
  <c r="F17" i="9"/>
  <c r="G17" i="9"/>
  <c r="E8" i="9"/>
  <c r="F8" i="9"/>
  <c r="G8" i="9"/>
  <c r="N17" i="9"/>
  <c r="D17" i="9"/>
  <c r="N8" i="9"/>
  <c r="D8" i="9"/>
  <c r="N16" i="9"/>
  <c r="N7" i="9"/>
  <c r="D16" i="9"/>
  <c r="E7" i="9"/>
  <c r="F7" i="9"/>
  <c r="G7" i="9"/>
  <c r="D7" i="9"/>
  <c r="O15" i="9"/>
  <c r="P15" i="9"/>
  <c r="Q15" i="9"/>
  <c r="N15" i="9"/>
  <c r="O6" i="9"/>
  <c r="P6" i="9"/>
  <c r="Q6" i="9"/>
  <c r="E15" i="9"/>
  <c r="F15" i="9"/>
  <c r="G15" i="9"/>
  <c r="D15" i="9"/>
  <c r="E6" i="9"/>
  <c r="F6" i="9"/>
  <c r="G6" i="9"/>
  <c r="D6" i="9"/>
  <c r="E25" i="2"/>
  <c r="D27" i="4" s="1"/>
  <c r="O21" i="8"/>
  <c r="O22" i="8"/>
  <c r="N21" i="8"/>
  <c r="N22" i="8"/>
  <c r="M21" i="8"/>
  <c r="M22" i="8"/>
  <c r="O7" i="8"/>
  <c r="O8" i="8"/>
  <c r="N7" i="8"/>
  <c r="N8" i="8"/>
  <c r="M7" i="8"/>
  <c r="M8" i="8"/>
  <c r="O20" i="8"/>
  <c r="N20" i="8"/>
  <c r="M20" i="8"/>
  <c r="O6" i="8"/>
  <c r="N6" i="8"/>
  <c r="M6" i="8"/>
  <c r="F21" i="8"/>
  <c r="F22" i="8"/>
  <c r="E21" i="8"/>
  <c r="E22" i="8"/>
  <c r="D21" i="8"/>
  <c r="D22" i="8"/>
  <c r="F7" i="8"/>
  <c r="F8" i="8"/>
  <c r="E7" i="8"/>
  <c r="E8" i="8"/>
  <c r="D7" i="8"/>
  <c r="D8" i="8"/>
  <c r="F20" i="8"/>
  <c r="E20" i="8"/>
  <c r="D20" i="8"/>
  <c r="F6" i="8"/>
  <c r="E6" i="8"/>
  <c r="D6" i="8"/>
  <c r="O21" i="7"/>
  <c r="O22" i="7"/>
  <c r="N21" i="7"/>
  <c r="N22" i="7"/>
  <c r="M21" i="7"/>
  <c r="M22" i="7"/>
  <c r="O7" i="7"/>
  <c r="O8" i="7"/>
  <c r="N7" i="7"/>
  <c r="N8" i="7"/>
  <c r="M7" i="7"/>
  <c r="M8" i="7"/>
  <c r="O20" i="7"/>
  <c r="N20" i="7"/>
  <c r="M20" i="7"/>
  <c r="O6" i="7"/>
  <c r="N6" i="7"/>
  <c r="M6" i="7"/>
  <c r="F21" i="7"/>
  <c r="F22" i="7"/>
  <c r="E21" i="7"/>
  <c r="E22" i="7"/>
  <c r="D21" i="7"/>
  <c r="D22" i="7"/>
  <c r="F7" i="7"/>
  <c r="F8" i="7"/>
  <c r="E7" i="7"/>
  <c r="E8" i="7"/>
  <c r="D7" i="7"/>
  <c r="D8" i="7"/>
  <c r="F20" i="7"/>
  <c r="E20" i="7"/>
  <c r="D20" i="7"/>
  <c r="F6" i="7"/>
  <c r="E6" i="7"/>
  <c r="D6" i="7"/>
  <c r="H9" i="3"/>
  <c r="O21" i="5"/>
  <c r="O22" i="5"/>
  <c r="N21" i="5"/>
  <c r="N22" i="5"/>
  <c r="M21" i="5"/>
  <c r="M22" i="5"/>
  <c r="O20" i="5"/>
  <c r="N20" i="5"/>
  <c r="M20" i="5"/>
  <c r="O7" i="5"/>
  <c r="O8" i="5"/>
  <c r="N7" i="5"/>
  <c r="N8" i="5"/>
  <c r="M7" i="5"/>
  <c r="M8" i="5"/>
  <c r="O6" i="5"/>
  <c r="N6" i="5"/>
  <c r="M6" i="5"/>
  <c r="F21" i="5"/>
  <c r="F22" i="5"/>
  <c r="E21" i="5"/>
  <c r="E22" i="5"/>
  <c r="D21" i="5"/>
  <c r="D22" i="5"/>
  <c r="F20" i="5"/>
  <c r="E20" i="5"/>
  <c r="D20" i="5"/>
  <c r="F7" i="5"/>
  <c r="F8" i="5"/>
  <c r="E7" i="5"/>
  <c r="E8" i="5"/>
  <c r="D7" i="5"/>
  <c r="D8" i="5"/>
  <c r="F6" i="5"/>
  <c r="E6" i="5"/>
  <c r="D6" i="5"/>
  <c r="M20" i="4"/>
  <c r="O22" i="4"/>
  <c r="N22" i="4"/>
  <c r="M22" i="4"/>
  <c r="O21" i="4"/>
  <c r="N21" i="4"/>
  <c r="M21" i="4"/>
  <c r="O20" i="4"/>
  <c r="N20" i="4"/>
  <c r="F21" i="4"/>
  <c r="F22" i="4"/>
  <c r="E21" i="4"/>
  <c r="E22" i="4"/>
  <c r="D21" i="4"/>
  <c r="D22" i="4"/>
  <c r="D23" i="4"/>
  <c r="F20" i="4"/>
  <c r="E20" i="4"/>
  <c r="D20" i="4"/>
  <c r="M6" i="4"/>
  <c r="O8" i="4"/>
  <c r="N8" i="4"/>
  <c r="M8" i="4"/>
  <c r="O7" i="4"/>
  <c r="N7" i="4"/>
  <c r="M7" i="4"/>
  <c r="O6" i="4"/>
  <c r="N6" i="4"/>
  <c r="F7" i="4"/>
  <c r="F8" i="4"/>
  <c r="F6" i="4"/>
  <c r="E7" i="4"/>
  <c r="E8" i="4"/>
  <c r="E6" i="4"/>
  <c r="D7" i="4"/>
  <c r="D8" i="4"/>
  <c r="D6" i="4"/>
  <c r="Q21" i="3"/>
  <c r="P21" i="3"/>
  <c r="O21" i="3"/>
  <c r="N21" i="3"/>
  <c r="H21" i="3"/>
  <c r="G21" i="3"/>
  <c r="F21" i="3"/>
  <c r="E21" i="3"/>
  <c r="Q9" i="3"/>
  <c r="P9" i="3"/>
  <c r="O9" i="3"/>
  <c r="N9" i="3"/>
  <c r="G9" i="3"/>
  <c r="F9" i="3"/>
  <c r="E9" i="3"/>
  <c r="Q21" i="2"/>
  <c r="P21" i="2"/>
  <c r="O21" i="2"/>
  <c r="N21" i="2"/>
  <c r="H21" i="2"/>
  <c r="G21" i="2"/>
  <c r="F21" i="2"/>
  <c r="E22" i="2"/>
  <c r="Q9" i="2"/>
  <c r="P9" i="2"/>
  <c r="O9" i="2"/>
  <c r="N9" i="2"/>
  <c r="H9" i="2"/>
  <c r="G9" i="2"/>
  <c r="F9" i="2"/>
  <c r="D26" i="4" l="1"/>
  <c r="D15" i="14"/>
  <c r="E10" i="17"/>
  <c r="Q10" i="17"/>
  <c r="P10" i="17"/>
  <c r="F9" i="17"/>
  <c r="E13" i="2"/>
  <c r="D13" i="4" s="1"/>
  <c r="D9" i="4"/>
  <c r="F10" i="2"/>
  <c r="F13" i="2"/>
  <c r="D13" i="5" s="1"/>
  <c r="D9" i="5"/>
  <c r="G10" i="2"/>
  <c r="G13" i="2"/>
  <c r="D13" i="7" s="1"/>
  <c r="D9" i="7"/>
  <c r="H10" i="2"/>
  <c r="H13" i="2"/>
  <c r="D13" i="8" s="1"/>
  <c r="D9" i="8"/>
  <c r="N10" i="2"/>
  <c r="N13" i="2"/>
  <c r="M13" i="4" s="1"/>
  <c r="M9" i="4"/>
  <c r="O10" i="2"/>
  <c r="O13" i="2"/>
  <c r="M13" i="5" s="1"/>
  <c r="M9" i="5"/>
  <c r="P10" i="2"/>
  <c r="P13" i="2"/>
  <c r="M13" i="7" s="1"/>
  <c r="M9" i="7"/>
  <c r="Q10" i="2"/>
  <c r="Q13" i="2"/>
  <c r="M13" i="8" s="1"/>
  <c r="M9" i="8"/>
  <c r="E23" i="2"/>
  <c r="D24" i="4"/>
  <c r="F22" i="2"/>
  <c r="F25" i="2"/>
  <c r="D27" i="5" s="1"/>
  <c r="D23" i="5"/>
  <c r="G22" i="2"/>
  <c r="G25" i="2"/>
  <c r="D27" i="7" s="1"/>
  <c r="D23" i="7"/>
  <c r="H24" i="2"/>
  <c r="H25" i="2"/>
  <c r="D27" i="8" s="1"/>
  <c r="D23" i="8"/>
  <c r="N24" i="2"/>
  <c r="N25" i="2"/>
  <c r="M27" i="4" s="1"/>
  <c r="M23" i="4"/>
  <c r="O24" i="2"/>
  <c r="O25" i="2"/>
  <c r="M27" i="5" s="1"/>
  <c r="M23" i="5"/>
  <c r="P24" i="2"/>
  <c r="P25" i="2"/>
  <c r="M27" i="7" s="1"/>
  <c r="M23" i="7"/>
  <c r="Q24" i="2"/>
  <c r="Q25" i="2"/>
  <c r="M27" i="8" s="1"/>
  <c r="M23" i="8"/>
  <c r="E10" i="3"/>
  <c r="F13" i="4"/>
  <c r="F9" i="4"/>
  <c r="F12" i="3"/>
  <c r="F13" i="3"/>
  <c r="F13" i="5" s="1"/>
  <c r="G10" i="3"/>
  <c r="G13" i="3"/>
  <c r="F13" i="7" s="1"/>
  <c r="F9" i="7"/>
  <c r="N12" i="3"/>
  <c r="N13" i="3"/>
  <c r="O13" i="4" s="1"/>
  <c r="O9" i="4"/>
  <c r="O12" i="3"/>
  <c r="O13" i="3"/>
  <c r="O13" i="5" s="1"/>
  <c r="P10" i="3"/>
  <c r="P13" i="3"/>
  <c r="O13" i="7" s="1"/>
  <c r="O9" i="7"/>
  <c r="Q12" i="3"/>
  <c r="Q13" i="3"/>
  <c r="O13" i="8" s="1"/>
  <c r="O9" i="8"/>
  <c r="E22" i="3"/>
  <c r="E25" i="3"/>
  <c r="F27" i="4" s="1"/>
  <c r="F23" i="4"/>
  <c r="F22" i="3"/>
  <c r="F25" i="3"/>
  <c r="F27" i="5" s="1"/>
  <c r="F24" i="3"/>
  <c r="F23" i="5"/>
  <c r="G25" i="3"/>
  <c r="F27" i="7" s="1"/>
  <c r="F23" i="7"/>
  <c r="G24" i="3"/>
  <c r="H25" i="3"/>
  <c r="F27" i="8" s="1"/>
  <c r="F23" i="8"/>
  <c r="H24" i="3"/>
  <c r="N24" i="3"/>
  <c r="N25" i="3"/>
  <c r="O27" i="4" s="1"/>
  <c r="O23" i="4"/>
  <c r="O24" i="3"/>
  <c r="O25" i="3"/>
  <c r="O27" i="5" s="1"/>
  <c r="O23" i="5"/>
  <c r="O22" i="3"/>
  <c r="P22" i="3"/>
  <c r="P25" i="3"/>
  <c r="O27" i="7" s="1"/>
  <c r="O23" i="7"/>
  <c r="P24" i="3"/>
  <c r="Q22" i="3"/>
  <c r="Q25" i="3"/>
  <c r="O27" i="8" s="1"/>
  <c r="O23" i="8"/>
  <c r="H13" i="3"/>
  <c r="F13" i="8" s="1"/>
  <c r="F9" i="8"/>
  <c r="H12" i="3"/>
  <c r="H10" i="3"/>
  <c r="Q24" i="3"/>
  <c r="H22" i="3"/>
  <c r="F9" i="5"/>
  <c r="O9" i="5"/>
  <c r="G22" i="3"/>
  <c r="F10" i="3"/>
  <c r="E12" i="3"/>
  <c r="N22" i="3"/>
  <c r="G12" i="3"/>
  <c r="P12" i="3"/>
  <c r="E24" i="3"/>
  <c r="N10" i="3"/>
  <c r="O10" i="3"/>
  <c r="Q10" i="3"/>
  <c r="N22" i="2"/>
  <c r="F12" i="2"/>
  <c r="O22" i="2"/>
  <c r="P22" i="2"/>
  <c r="H12" i="2"/>
  <c r="Q22" i="2"/>
  <c r="G12" i="2"/>
  <c r="N12" i="2"/>
  <c r="O12" i="2"/>
  <c r="P12" i="2"/>
  <c r="H22" i="2"/>
  <c r="Q12" i="2"/>
  <c r="F24" i="2"/>
  <c r="G24" i="2"/>
  <c r="H21" i="1"/>
  <c r="G21" i="1"/>
  <c r="F21" i="1"/>
  <c r="Q21" i="1"/>
  <c r="P21" i="1"/>
  <c r="O21" i="1"/>
  <c r="Q9" i="1"/>
  <c r="P9" i="1"/>
  <c r="O9" i="1"/>
  <c r="H9" i="1"/>
  <c r="G9" i="1"/>
  <c r="F9" i="1"/>
  <c r="N21" i="1"/>
  <c r="E21" i="1"/>
  <c r="N9" i="1"/>
  <c r="E9" i="1"/>
  <c r="E13" i="1" l="1"/>
  <c r="E13" i="4" s="1"/>
  <c r="E9" i="4"/>
  <c r="E12" i="1"/>
  <c r="E10" i="1"/>
  <c r="N12" i="1"/>
  <c r="N13" i="1"/>
  <c r="N13" i="4" s="1"/>
  <c r="N9" i="4"/>
  <c r="E24" i="1"/>
  <c r="E25" i="1"/>
  <c r="E27" i="4" s="1"/>
  <c r="E23" i="4"/>
  <c r="N24" i="1"/>
  <c r="N25" i="1"/>
  <c r="N27" i="4" s="1"/>
  <c r="N23" i="4"/>
  <c r="F13" i="1"/>
  <c r="E13" i="5" s="1"/>
  <c r="E9" i="5"/>
  <c r="F10" i="1"/>
  <c r="G13" i="1"/>
  <c r="E13" i="7" s="1"/>
  <c r="E9" i="7"/>
  <c r="G10" i="1"/>
  <c r="H12" i="1"/>
  <c r="H13" i="1"/>
  <c r="E13" i="8" s="1"/>
  <c r="E9" i="8"/>
  <c r="H10" i="1"/>
  <c r="E10" i="8" s="1"/>
  <c r="O12" i="1"/>
  <c r="O13" i="1"/>
  <c r="N13" i="5" s="1"/>
  <c r="N9" i="5"/>
  <c r="P10" i="1"/>
  <c r="P13" i="1"/>
  <c r="N13" i="7" s="1"/>
  <c r="N9" i="7"/>
  <c r="Q12" i="1"/>
  <c r="Q13" i="1"/>
  <c r="N13" i="8" s="1"/>
  <c r="N9" i="8"/>
  <c r="O22" i="1"/>
  <c r="O25" i="1"/>
  <c r="N27" i="5" s="1"/>
  <c r="N23" i="5"/>
  <c r="P24" i="1"/>
  <c r="P25" i="1"/>
  <c r="N27" i="7" s="1"/>
  <c r="N23" i="7"/>
  <c r="Q24" i="1"/>
  <c r="Q25" i="1"/>
  <c r="N27" i="8" s="1"/>
  <c r="N23" i="8"/>
  <c r="F24" i="1"/>
  <c r="F25" i="1"/>
  <c r="E27" i="5" s="1"/>
  <c r="E23" i="5"/>
  <c r="G24" i="1"/>
  <c r="G25" i="1"/>
  <c r="E27" i="7" s="1"/>
  <c r="E23" i="7"/>
  <c r="H24" i="1"/>
  <c r="H25" i="1"/>
  <c r="E27" i="8" s="1"/>
  <c r="E23" i="8"/>
  <c r="F15" i="14"/>
  <c r="D26" i="7"/>
  <c r="E15" i="14"/>
  <c r="D26" i="5"/>
  <c r="Q6" i="14"/>
  <c r="M12" i="8"/>
  <c r="H23" i="2"/>
  <c r="D24" i="8"/>
  <c r="P6" i="14"/>
  <c r="M12" i="7"/>
  <c r="O6" i="14"/>
  <c r="M12" i="5"/>
  <c r="N6" i="14"/>
  <c r="M12" i="4"/>
  <c r="F6" i="14"/>
  <c r="D12" i="7"/>
  <c r="Q23" i="2"/>
  <c r="M24" i="8"/>
  <c r="G6" i="14"/>
  <c r="D12" i="8"/>
  <c r="P23" i="2"/>
  <c r="M24" i="7"/>
  <c r="O23" i="2"/>
  <c r="M24" i="5"/>
  <c r="E6" i="14"/>
  <c r="D12" i="5"/>
  <c r="N23" i="2"/>
  <c r="M24" i="4"/>
  <c r="D6" i="14"/>
  <c r="D12" i="4"/>
  <c r="Q11" i="3"/>
  <c r="O10" i="8"/>
  <c r="N11" i="3"/>
  <c r="O10" i="4"/>
  <c r="D17" i="14"/>
  <c r="F26" i="4"/>
  <c r="P8" i="14"/>
  <c r="O12" i="7"/>
  <c r="F8" i="14"/>
  <c r="F12" i="7"/>
  <c r="N23" i="3"/>
  <c r="O24" i="4"/>
  <c r="D8" i="14"/>
  <c r="F12" i="4"/>
  <c r="G23" i="3"/>
  <c r="F24" i="7"/>
  <c r="H23" i="3"/>
  <c r="F24" i="8"/>
  <c r="Q17" i="14"/>
  <c r="O26" i="8"/>
  <c r="F10" i="8"/>
  <c r="H11" i="3"/>
  <c r="G8" i="14"/>
  <c r="F12" i="8"/>
  <c r="Q23" i="3"/>
  <c r="O24" i="8"/>
  <c r="P17" i="14"/>
  <c r="O26" i="7"/>
  <c r="P23" i="3"/>
  <c r="O24" i="7"/>
  <c r="O23" i="3"/>
  <c r="O24" i="5"/>
  <c r="O17" i="14"/>
  <c r="O26" i="5"/>
  <c r="N17" i="14"/>
  <c r="O26" i="4"/>
  <c r="G17" i="14"/>
  <c r="F26" i="8"/>
  <c r="F17" i="14"/>
  <c r="F26" i="7"/>
  <c r="F26" i="5"/>
  <c r="E17" i="14"/>
  <c r="F23" i="3"/>
  <c r="F24" i="5"/>
  <c r="E23" i="3"/>
  <c r="F24" i="4"/>
  <c r="Q8" i="14"/>
  <c r="O12" i="8"/>
  <c r="P11" i="3"/>
  <c r="O10" i="7"/>
  <c r="O12" i="5"/>
  <c r="O8" i="14"/>
  <c r="N8" i="14"/>
  <c r="O12" i="4"/>
  <c r="G11" i="3"/>
  <c r="F10" i="7"/>
  <c r="F12" i="5"/>
  <c r="E8" i="14"/>
  <c r="E11" i="3"/>
  <c r="F10" i="4"/>
  <c r="Q15" i="14"/>
  <c r="M26" i="8"/>
  <c r="P15" i="14"/>
  <c r="M26" i="7"/>
  <c r="O15" i="14"/>
  <c r="M26" i="5"/>
  <c r="N15" i="14"/>
  <c r="M26" i="4"/>
  <c r="G15" i="14"/>
  <c r="D26" i="8"/>
  <c r="G23" i="2"/>
  <c r="D24" i="7"/>
  <c r="F23" i="2"/>
  <c r="D24" i="5"/>
  <c r="D15" i="12"/>
  <c r="D25" i="4"/>
  <c r="Q11" i="2"/>
  <c r="M10" i="8"/>
  <c r="P11" i="2"/>
  <c r="M10" i="7"/>
  <c r="O11" i="2"/>
  <c r="M10" i="5"/>
  <c r="N11" i="2"/>
  <c r="M10" i="4"/>
  <c r="H11" i="2"/>
  <c r="D10" i="8"/>
  <c r="G11" i="2"/>
  <c r="D10" i="7"/>
  <c r="F11" i="2"/>
  <c r="D10" i="5"/>
  <c r="D10" i="4"/>
  <c r="O11" i="3"/>
  <c r="O10" i="5"/>
  <c r="F11" i="3"/>
  <c r="F10" i="5"/>
  <c r="F22" i="1"/>
  <c r="H22" i="1"/>
  <c r="G22" i="1"/>
  <c r="P22" i="1"/>
  <c r="Q22" i="1"/>
  <c r="O24" i="1"/>
  <c r="O10" i="1"/>
  <c r="Q10" i="1"/>
  <c r="P12" i="1"/>
  <c r="F12" i="1"/>
  <c r="G12" i="1"/>
  <c r="N22" i="1"/>
  <c r="E22" i="1"/>
  <c r="N10" i="1"/>
  <c r="H11" i="1" l="1"/>
  <c r="N11" i="1"/>
  <c r="N10" i="4"/>
  <c r="E24" i="4"/>
  <c r="N23" i="1"/>
  <c r="N24" i="4"/>
  <c r="F7" i="14"/>
  <c r="E12" i="7"/>
  <c r="G7" i="12"/>
  <c r="E11" i="8"/>
  <c r="E7" i="14"/>
  <c r="E12" i="5"/>
  <c r="P7" i="14"/>
  <c r="N12" i="7"/>
  <c r="Q11" i="1"/>
  <c r="N10" i="8"/>
  <c r="O11" i="1"/>
  <c r="N10" i="5"/>
  <c r="O16" i="14"/>
  <c r="N26" i="5"/>
  <c r="Q23" i="1"/>
  <c r="N24" i="8"/>
  <c r="P23" i="1"/>
  <c r="N24" i="7"/>
  <c r="G23" i="1"/>
  <c r="E24" i="7"/>
  <c r="H23" i="1"/>
  <c r="E24" i="8"/>
  <c r="F23" i="1"/>
  <c r="E24" i="5"/>
  <c r="F11" i="5"/>
  <c r="E8" i="12"/>
  <c r="O11" i="5"/>
  <c r="O8" i="12"/>
  <c r="D6" i="12"/>
  <c r="D11" i="4"/>
  <c r="E6" i="12"/>
  <c r="D11" i="5"/>
  <c r="F6" i="12"/>
  <c r="D11" i="7"/>
  <c r="G6" i="12"/>
  <c r="D11" i="8"/>
  <c r="N6" i="12"/>
  <c r="M11" i="4"/>
  <c r="O6" i="12"/>
  <c r="M11" i="5"/>
  <c r="P6" i="12"/>
  <c r="M11" i="7"/>
  <c r="Q6" i="12"/>
  <c r="M11" i="8"/>
  <c r="E15" i="12"/>
  <c r="D25" i="5"/>
  <c r="F15" i="12"/>
  <c r="D25" i="7"/>
  <c r="D8" i="12"/>
  <c r="F11" i="4"/>
  <c r="F8" i="12"/>
  <c r="F11" i="7"/>
  <c r="P8" i="12"/>
  <c r="O11" i="7"/>
  <c r="D17" i="12"/>
  <c r="F25" i="4"/>
  <c r="E17" i="12"/>
  <c r="F25" i="5"/>
  <c r="O17" i="12"/>
  <c r="O25" i="5"/>
  <c r="P17" i="12"/>
  <c r="O25" i="7"/>
  <c r="Q17" i="12"/>
  <c r="O25" i="8"/>
  <c r="G8" i="12"/>
  <c r="F11" i="8"/>
  <c r="G17" i="12"/>
  <c r="F25" i="8"/>
  <c r="F17" i="12"/>
  <c r="F25" i="7"/>
  <c r="N17" i="12"/>
  <c r="O25" i="4"/>
  <c r="N8" i="12"/>
  <c r="O11" i="4"/>
  <c r="Q8" i="12"/>
  <c r="O11" i="8"/>
  <c r="N15" i="12"/>
  <c r="M25" i="4"/>
  <c r="O15" i="12"/>
  <c r="M25" i="5"/>
  <c r="P15" i="12"/>
  <c r="M25" i="7"/>
  <c r="Q15" i="12"/>
  <c r="M25" i="8"/>
  <c r="G15" i="12"/>
  <c r="D25" i="8"/>
  <c r="G16" i="14"/>
  <c r="E26" i="8"/>
  <c r="F16" i="14"/>
  <c r="E26" i="7"/>
  <c r="E16" i="14"/>
  <c r="E26" i="5"/>
  <c r="Q16" i="14"/>
  <c r="N26" i="8"/>
  <c r="P16" i="14"/>
  <c r="N26" i="7"/>
  <c r="O23" i="1"/>
  <c r="N24" i="5"/>
  <c r="Q7" i="14"/>
  <c r="N12" i="8"/>
  <c r="P11" i="1"/>
  <c r="N10" i="7"/>
  <c r="O7" i="14"/>
  <c r="N12" i="5"/>
  <c r="G7" i="14"/>
  <c r="E12" i="8"/>
  <c r="E10" i="7"/>
  <c r="G11" i="1"/>
  <c r="E10" i="5"/>
  <c r="F11" i="1"/>
  <c r="N16" i="14"/>
  <c r="N26" i="4"/>
  <c r="D16" i="14"/>
  <c r="E26" i="4"/>
  <c r="N7" i="14"/>
  <c r="N12" i="4"/>
  <c r="E10" i="4"/>
  <c r="E11" i="1"/>
  <c r="D7" i="14"/>
  <c r="E12" i="4"/>
  <c r="D7" i="12" l="1"/>
  <c r="E11" i="4"/>
  <c r="E7" i="12"/>
  <c r="E11" i="5"/>
  <c r="F7" i="12"/>
  <c r="E11" i="7"/>
  <c r="P7" i="12"/>
  <c r="N11" i="7"/>
  <c r="O16" i="12"/>
  <c r="N25" i="5"/>
  <c r="E16" i="12"/>
  <c r="E25" i="5"/>
  <c r="G16" i="12"/>
  <c r="E25" i="8"/>
  <c r="F16" i="12"/>
  <c r="E25" i="7"/>
  <c r="P16" i="12"/>
  <c r="N25" i="7"/>
  <c r="Q16" i="12"/>
  <c r="N25" i="8"/>
  <c r="O7" i="12"/>
  <c r="N11" i="5"/>
  <c r="Q7" i="12"/>
  <c r="N11" i="8"/>
  <c r="N16" i="12"/>
  <c r="N25" i="4"/>
  <c r="D16" i="12"/>
  <c r="E25" i="4"/>
  <c r="N7" i="12"/>
  <c r="N11" i="4"/>
</calcChain>
</file>

<file path=xl/sharedStrings.xml><?xml version="1.0" encoding="utf-8"?>
<sst xmlns="http://schemas.openxmlformats.org/spreadsheetml/2006/main" count="529" uniqueCount="23">
  <si>
    <t>Camera 1 with filter</t>
  </si>
  <si>
    <t>Camera 2 with filter</t>
  </si>
  <si>
    <t>Schweppes</t>
  </si>
  <si>
    <t>Fluorescein</t>
  </si>
  <si>
    <t>Rhodomine</t>
  </si>
  <si>
    <t>Nile Blue</t>
  </si>
  <si>
    <t>λ(nm)</t>
  </si>
  <si>
    <t>Angle Tilt</t>
  </si>
  <si>
    <t>Focus</t>
  </si>
  <si>
    <r>
      <t>FWHM(</t>
    </r>
    <r>
      <rPr>
        <sz val="11"/>
        <color theme="1"/>
        <rFont val="Calibri"/>
        <family val="2"/>
      </rPr>
      <t>µm)</t>
    </r>
  </si>
  <si>
    <r>
      <t>w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(µm)</t>
    </r>
  </si>
  <si>
    <r>
      <t>z</t>
    </r>
    <r>
      <rPr>
        <vertAlign val="subscript"/>
        <sz val="11"/>
        <color theme="1"/>
        <rFont val="Calibri"/>
        <family val="2"/>
        <scheme val="minor"/>
      </rPr>
      <t>R(µm)</t>
    </r>
  </si>
  <si>
    <t>FOV(µm)</t>
  </si>
  <si>
    <r>
      <t>R</t>
    </r>
    <r>
      <rPr>
        <vertAlign val="subscript"/>
        <sz val="11"/>
        <color theme="1"/>
        <rFont val="Calibri"/>
        <family val="2"/>
        <scheme val="minor"/>
      </rPr>
      <t>axial</t>
    </r>
    <r>
      <rPr>
        <sz val="11"/>
        <color theme="1"/>
        <rFont val="Calibri"/>
        <family val="2"/>
        <scheme val="minor"/>
      </rPr>
      <t>(µm)</t>
    </r>
  </si>
  <si>
    <t>NA</t>
  </si>
  <si>
    <t>Camera 1 without filter</t>
  </si>
  <si>
    <t>Camera 2 without filter</t>
  </si>
  <si>
    <t>Top</t>
  </si>
  <si>
    <t>Middle</t>
  </si>
  <si>
    <t>Bottom</t>
  </si>
  <si>
    <t>Mean</t>
  </si>
  <si>
    <t>SD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</si>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</sst>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2" fillId="0" borderId="2" xfId="0" applyFont="1" applyBorder="1"/>
    <xf numFmtId="0" fontId="3" fillId="0" borderId="2" xfId="0" applyFont="1" applyBorder="1"/>
    <xf numFmtId="0" fontId="4" fillId="0" borderId="2" xfId="0" applyFont="1" applyBorder="1"/>
    <xf numFmtId="0" fontId="6" fillId="0" borderId="1" xfId="0" applyFont="1" applyBorder="1"/>
    <xf numFmtId="0" fontId="8" fillId="2" borderId="2" xfId="0" applyFont="1" applyFill="1" applyBorder="1"/>
    <xf numFmtId="0" fontId="8" fillId="0" borderId="2" xfId="0" applyFont="1" applyBorder="1"/>
    <xf numFmtId="0" fontId="7" fillId="0" borderId="1" xfId="0" applyFont="1" applyBorder="1"/>
    <xf numFmtId="2" fontId="0" fillId="0" borderId="1" xfId="0" applyNumberFormat="1" applyBorder="1"/>
    <xf numFmtId="164" fontId="0" fillId="0" borderId="1" xfId="0" applyNumberFormat="1" applyBorder="1"/>
    <xf numFmtId="0" fontId="7" fillId="0" borderId="0" xfId="0" applyFont="1"/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FWHM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Top!$E$4</c:f>
              <c:strCache>
                <c:ptCount val="1"/>
                <c:pt idx="0">
                  <c:v>Schweppes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(Top!$E$3,Top!$N$3,Top!$E$15,Top!$N$15)</c:f>
              <c:strCache>
                <c:ptCount val="4"/>
                <c:pt idx="0">
                  <c:v>Camera 1 with filter</c:v>
                </c:pt>
                <c:pt idx="1">
                  <c:v>Camera 2 with filter</c:v>
                </c:pt>
                <c:pt idx="2">
                  <c:v>Camera 1 without filter</c:v>
                </c:pt>
                <c:pt idx="3">
                  <c:v>Camera 2 without filter</c:v>
                </c:pt>
              </c:strCache>
            </c:strRef>
          </c:cat>
          <c:val>
            <c:numRef>
              <c:f>(Top!$E$8,Top!$N$8,Top!$E$20,Top!$N$20)</c:f>
              <c:numCache>
                <c:formatCode>General</c:formatCode>
                <c:ptCount val="4"/>
                <c:pt idx="0">
                  <c:v>5.6740000000000004</c:v>
                </c:pt>
                <c:pt idx="1">
                  <c:v>4.7510000000000003</c:v>
                </c:pt>
                <c:pt idx="2">
                  <c:v>3.7839999999999998</c:v>
                </c:pt>
                <c:pt idx="3">
                  <c:v>3.65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6F-4D2C-A83D-4799FA17B59E}"/>
            </c:ext>
          </c:extLst>
        </c:ser>
        <c:ser>
          <c:idx val="1"/>
          <c:order val="1"/>
          <c:tx>
            <c:strRef>
              <c:f>Top!$F$4</c:f>
              <c:strCache>
                <c:ptCount val="1"/>
                <c:pt idx="0">
                  <c:v>Fluorescein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(Top!$F$8,Top!$O$8,Top!$F$20,Top!$O$20)</c:f>
              <c:numCache>
                <c:formatCode>General</c:formatCode>
                <c:ptCount val="4"/>
                <c:pt idx="0">
                  <c:v>3.875</c:v>
                </c:pt>
                <c:pt idx="1">
                  <c:v>3.8050000000000002</c:v>
                </c:pt>
                <c:pt idx="2">
                  <c:v>4.2460000000000004</c:v>
                </c:pt>
                <c:pt idx="3">
                  <c:v>4.1100000000000003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6F-4D2C-A83D-4799FA17B59E}"/>
            </c:ext>
          </c:extLst>
        </c:ser>
        <c:ser>
          <c:idx val="2"/>
          <c:order val="2"/>
          <c:tx>
            <c:strRef>
              <c:f>Top!$G$4</c:f>
              <c:strCache>
                <c:ptCount val="1"/>
                <c:pt idx="0">
                  <c:v>Rhodomine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(Top!$G$8,Top!$P$8,Top!$G$20,Top!$P$20)</c:f>
              <c:numCache>
                <c:formatCode>General</c:formatCode>
                <c:ptCount val="4"/>
                <c:pt idx="0">
                  <c:v>4.3780000000000001</c:v>
                </c:pt>
                <c:pt idx="1">
                  <c:v>4.4729999999999999</c:v>
                </c:pt>
                <c:pt idx="2">
                  <c:v>4.1479999999999997</c:v>
                </c:pt>
                <c:pt idx="3">
                  <c:v>4.6159999999999997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6F-4D2C-A83D-4799FA17B59E}"/>
            </c:ext>
          </c:extLst>
        </c:ser>
        <c:ser>
          <c:idx val="3"/>
          <c:order val="3"/>
          <c:tx>
            <c:strRef>
              <c:f>Top!$H$4</c:f>
              <c:strCache>
                <c:ptCount val="1"/>
                <c:pt idx="0">
                  <c:v>Nile Blue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(Top!$H$8,Top!$Q$8,Top!$H$20,Top!$Q$20)</c:f>
              <c:numCache>
                <c:formatCode>General</c:formatCode>
                <c:ptCount val="4"/>
                <c:pt idx="0">
                  <c:v>4.2460000000000004</c:v>
                </c:pt>
                <c:pt idx="1">
                  <c:v>4.6070000000000002</c:v>
                </c:pt>
                <c:pt idx="2">
                  <c:v>4.2759999999999998</c:v>
                </c:pt>
                <c:pt idx="3">
                  <c:v>4.3520000000000003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36F-4D2C-A83D-4799FA17B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0635343"/>
        <c:axId val="600634511"/>
      </c:barChart>
      <c:catAx>
        <c:axId val="600635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Cameras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00634511"/>
        <c:crosses val="autoZero"/>
        <c:auto val="1"/>
        <c:lblAlgn val="ctr"/>
        <c:lblOffset val="100"/>
        <c:noMultiLvlLbl val="0"/>
      </c:catAx>
      <c:valAx>
        <c:axId val="60063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FWHM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00635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FWHM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Top!$E$4</c:f>
              <c:strCache>
                <c:ptCount val="1"/>
                <c:pt idx="0">
                  <c:v>Schweppes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(Top!$E$3,Top!$N$3,Top!$E$15,Top!$N$15)</c:f>
              <c:strCache>
                <c:ptCount val="4"/>
                <c:pt idx="0">
                  <c:v>Camera 1 with filter</c:v>
                </c:pt>
                <c:pt idx="1">
                  <c:v>Camera 2 with filter</c:v>
                </c:pt>
                <c:pt idx="2">
                  <c:v>Camera 1 without filter</c:v>
                </c:pt>
                <c:pt idx="3">
                  <c:v>Camera 2 without filter</c:v>
                </c:pt>
              </c:strCache>
            </c:strRef>
          </c:cat>
          <c:val>
            <c:numRef>
              <c:f>(Middle!$E$8,Middle!$N$8,Middle!$E$20,Middle!$N$20)</c:f>
              <c:numCache>
                <c:formatCode>General</c:formatCode>
                <c:ptCount val="4"/>
                <c:pt idx="0">
                  <c:v>5.4409999999999998</c:v>
                </c:pt>
                <c:pt idx="1">
                  <c:v>5.3579999999999997</c:v>
                </c:pt>
                <c:pt idx="2">
                  <c:v>3.7080000000000002</c:v>
                </c:pt>
                <c:pt idx="3">
                  <c:v>3.8380000000000001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61-4D29-ACF0-430BF83DA080}"/>
            </c:ext>
          </c:extLst>
        </c:ser>
        <c:ser>
          <c:idx val="1"/>
          <c:order val="1"/>
          <c:tx>
            <c:strRef>
              <c:f>Top!$F$4</c:f>
              <c:strCache>
                <c:ptCount val="1"/>
                <c:pt idx="0">
                  <c:v>Fluorescein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(Middle!$F$8,Middle!$O$8,Middle!$F$20,Middle!$O$20)</c:f>
              <c:numCache>
                <c:formatCode>General</c:formatCode>
                <c:ptCount val="4"/>
                <c:pt idx="0">
                  <c:v>4.0060000000000002</c:v>
                </c:pt>
                <c:pt idx="1">
                  <c:v>3.8719999999999999</c:v>
                </c:pt>
                <c:pt idx="2">
                  <c:v>4.3470000000000004</c:v>
                </c:pt>
                <c:pt idx="3">
                  <c:v>4.0090000000000003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61-4D29-ACF0-430BF83DA080}"/>
            </c:ext>
          </c:extLst>
        </c:ser>
        <c:ser>
          <c:idx val="2"/>
          <c:order val="2"/>
          <c:tx>
            <c:strRef>
              <c:f>Top!$G$4</c:f>
              <c:strCache>
                <c:ptCount val="1"/>
                <c:pt idx="0">
                  <c:v>Rhodomine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(Middle!$G$8,Middle!$P$8,Middle!$G$20,Middle!$P$20)</c:f>
              <c:numCache>
                <c:formatCode>General</c:formatCode>
                <c:ptCount val="4"/>
                <c:pt idx="0">
                  <c:v>4.2539999999999996</c:v>
                </c:pt>
                <c:pt idx="1">
                  <c:v>4.45</c:v>
                </c:pt>
                <c:pt idx="2">
                  <c:v>4.274</c:v>
                </c:pt>
                <c:pt idx="3">
                  <c:v>4.6630000000000003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61-4D29-ACF0-430BF83DA080}"/>
            </c:ext>
          </c:extLst>
        </c:ser>
        <c:ser>
          <c:idx val="3"/>
          <c:order val="3"/>
          <c:tx>
            <c:strRef>
              <c:f>Top!$H$4</c:f>
              <c:strCache>
                <c:ptCount val="1"/>
                <c:pt idx="0">
                  <c:v>Nile Blue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(Middle!$H$8,Middle!$Q$8,Middle!$H$20,Middle!$Q$20)</c:f>
              <c:numCache>
                <c:formatCode>General</c:formatCode>
                <c:ptCount val="4"/>
                <c:pt idx="0">
                  <c:v>4.1520000000000001</c:v>
                </c:pt>
                <c:pt idx="1">
                  <c:v>4.8220000000000001</c:v>
                </c:pt>
                <c:pt idx="2">
                  <c:v>4.2050000000000001</c:v>
                </c:pt>
                <c:pt idx="3">
                  <c:v>4.4560000000000004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61-4D29-ACF0-430BF83DA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0635343"/>
        <c:axId val="600634511"/>
      </c:barChart>
      <c:catAx>
        <c:axId val="600635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Cameras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00634511"/>
        <c:crosses val="autoZero"/>
        <c:auto val="1"/>
        <c:lblAlgn val="ctr"/>
        <c:lblOffset val="100"/>
        <c:noMultiLvlLbl val="0"/>
      </c:catAx>
      <c:valAx>
        <c:axId val="60063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FWHM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00635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FWHM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Top!$E$4</c:f>
              <c:strCache>
                <c:ptCount val="1"/>
                <c:pt idx="0">
                  <c:v>Schweppes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(Top!$E$3,Top!$N$3,Top!$E$15,Top!$N$15)</c:f>
              <c:strCache>
                <c:ptCount val="4"/>
                <c:pt idx="0">
                  <c:v>Camera 1 with filter</c:v>
                </c:pt>
                <c:pt idx="1">
                  <c:v>Camera 2 with filter</c:v>
                </c:pt>
                <c:pt idx="2">
                  <c:v>Camera 1 without filter</c:v>
                </c:pt>
                <c:pt idx="3">
                  <c:v>Camera 2 without filter</c:v>
                </c:pt>
              </c:strCache>
            </c:strRef>
          </c:cat>
          <c:val>
            <c:numRef>
              <c:f>(Bottom!$E$8,Bottom!$N$8,Bottom!$E$20,Bottom!$N$20)</c:f>
              <c:numCache>
                <c:formatCode>General</c:formatCode>
                <c:ptCount val="4"/>
                <c:pt idx="0">
                  <c:v>4.7229999999999999</c:v>
                </c:pt>
                <c:pt idx="1">
                  <c:v>4.4329999999999998</c:v>
                </c:pt>
                <c:pt idx="2">
                  <c:v>3.72</c:v>
                </c:pt>
                <c:pt idx="3">
                  <c:v>3.7280000000000002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5-4DD7-B4E0-CC2F80AA3093}"/>
            </c:ext>
          </c:extLst>
        </c:ser>
        <c:ser>
          <c:idx val="1"/>
          <c:order val="1"/>
          <c:tx>
            <c:strRef>
              <c:f>Top!$F$4</c:f>
              <c:strCache>
                <c:ptCount val="1"/>
                <c:pt idx="0">
                  <c:v>Fluorescein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(Bottom!$F$8,Bottom!$O$8,Bottom!$F$20,Bottom!$O$20)</c:f>
              <c:numCache>
                <c:formatCode>General</c:formatCode>
                <c:ptCount val="4"/>
                <c:pt idx="0">
                  <c:v>4.3310000000000004</c:v>
                </c:pt>
                <c:pt idx="1">
                  <c:v>3.964</c:v>
                </c:pt>
                <c:pt idx="2">
                  <c:v>4.7039999999999997</c:v>
                </c:pt>
                <c:pt idx="3">
                  <c:v>4.2370000000000001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75-4DD7-B4E0-CC2F80AA3093}"/>
            </c:ext>
          </c:extLst>
        </c:ser>
        <c:ser>
          <c:idx val="2"/>
          <c:order val="2"/>
          <c:tx>
            <c:strRef>
              <c:f>Top!$G$4</c:f>
              <c:strCache>
                <c:ptCount val="1"/>
                <c:pt idx="0">
                  <c:v>Rhodomine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(Bottom!$G$8,Bottom!$P$8,Bottom!$G$20,Bottom!$P$20)</c:f>
              <c:numCache>
                <c:formatCode>General</c:formatCode>
                <c:ptCount val="4"/>
                <c:pt idx="0">
                  <c:v>4.4530000000000003</c:v>
                </c:pt>
                <c:pt idx="1">
                  <c:v>4.8010000000000002</c:v>
                </c:pt>
                <c:pt idx="2">
                  <c:v>4.6459999999999999</c:v>
                </c:pt>
                <c:pt idx="3">
                  <c:v>5.1879999999999997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75-4DD7-B4E0-CC2F80AA3093}"/>
            </c:ext>
          </c:extLst>
        </c:ser>
        <c:ser>
          <c:idx val="3"/>
          <c:order val="3"/>
          <c:tx>
            <c:strRef>
              <c:f>Top!$H$4</c:f>
              <c:strCache>
                <c:ptCount val="1"/>
                <c:pt idx="0">
                  <c:v>Nile Blue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(Bottom!$H$8,Bottom!$Q$8,Bottom!$H$20,Bottom!$Q$20)</c:f>
              <c:numCache>
                <c:formatCode>General</c:formatCode>
                <c:ptCount val="4"/>
                <c:pt idx="0">
                  <c:v>4.3650000000000002</c:v>
                </c:pt>
                <c:pt idx="1">
                  <c:v>4.4290000000000003</c:v>
                </c:pt>
                <c:pt idx="2">
                  <c:v>4.5579999999999998</c:v>
                </c:pt>
                <c:pt idx="3">
                  <c:v>4.234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75-4DD7-B4E0-CC2F80AA3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0635343"/>
        <c:axId val="600634511"/>
      </c:barChart>
      <c:catAx>
        <c:axId val="600635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Cameras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00634511"/>
        <c:crosses val="autoZero"/>
        <c:auto val="1"/>
        <c:lblAlgn val="ctr"/>
        <c:lblOffset val="100"/>
        <c:noMultiLvlLbl val="0"/>
      </c:catAx>
      <c:valAx>
        <c:axId val="60063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FWHM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00635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Angle Tilt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0.12548403324584426"/>
          <c:y val="0.14096366716702219"/>
          <c:w val="0.58679670304369846"/>
          <c:h val="0.77478489101905745"/>
        </c:manualLayout>
      </c:layout>
      <c:lineChart>
        <c:grouping val="standard"/>
        <c:varyColors val="0"/>
        <c:ser>
          <c:idx val="0"/>
          <c:order val="0"/>
          <c:tx>
            <c:strRef>
              <c:f>Schweppes!$D$4</c:f>
              <c:strCache>
                <c:ptCount val="1"/>
                <c:pt idx="0">
                  <c:v>Camera 1 with filter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(Schweppes!$D$5,Schweppes!$E$5,Schweppes!$F$5)</c:f>
              <c:strCache>
                <c:ptCount val="3"/>
                <c:pt idx="0">
                  <c:v>Top</c:v>
                </c:pt>
                <c:pt idx="1">
                  <c:v>Middle</c:v>
                </c:pt>
                <c:pt idx="2">
                  <c:v>Bottom</c:v>
                </c:pt>
              </c:strCache>
            </c:strRef>
          </c:cat>
          <c:val>
            <c:numRef>
              <c:f>(Schweppes!$D$6,Schweppes!$E$6,Schweppes!$F$6)</c:f>
              <c:numCache>
                <c:formatCode>General</c:formatCode>
                <c:ptCount val="3"/>
                <c:pt idx="0">
                  <c:v>9.8000000000000004E-2</c:v>
                </c:pt>
                <c:pt idx="1">
                  <c:v>0.26500000000000001</c:v>
                </c:pt>
                <c:pt idx="2">
                  <c:v>0.36099999999999999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3D-4127-8AF9-9C69F2B5FDEA}"/>
            </c:ext>
          </c:extLst>
        </c:ser>
        <c:ser>
          <c:idx val="1"/>
          <c:order val="1"/>
          <c:tx>
            <c:strRef>
              <c:f>Schweppes!$M$4</c:f>
              <c:strCache>
                <c:ptCount val="1"/>
                <c:pt idx="0">
                  <c:v>Camera 2 with filter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(Schweppes!$M$6,Schweppes!$N$6,Schweppes!$O$6)</c:f>
              <c:numCache>
                <c:formatCode>General</c:formatCode>
                <c:ptCount val="3"/>
                <c:pt idx="0">
                  <c:v>-0.17699999999999999</c:v>
                </c:pt>
                <c:pt idx="1">
                  <c:v>-0.14000000000000001</c:v>
                </c:pt>
                <c:pt idx="2">
                  <c:v>-0.14199999999999999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D3D-4127-8AF9-9C69F2B5FDEA}"/>
            </c:ext>
          </c:extLst>
        </c:ser>
        <c:ser>
          <c:idx val="2"/>
          <c:order val="2"/>
          <c:tx>
            <c:strRef>
              <c:f>Schweppes!$D$18</c:f>
              <c:strCache>
                <c:ptCount val="1"/>
                <c:pt idx="0">
                  <c:v>Camera 1 without filter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(Schweppes!$D$20,Schweppes!$E$20,Schweppes!$F$20)</c:f>
              <c:numCache>
                <c:formatCode>General</c:formatCode>
                <c:ptCount val="3"/>
                <c:pt idx="0">
                  <c:v>0.187</c:v>
                </c:pt>
                <c:pt idx="1">
                  <c:v>0.27400000000000002</c:v>
                </c:pt>
                <c:pt idx="2">
                  <c:v>0.28699999999999998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D3D-4127-8AF9-9C69F2B5FDEA}"/>
            </c:ext>
          </c:extLst>
        </c:ser>
        <c:ser>
          <c:idx val="3"/>
          <c:order val="3"/>
          <c:tx>
            <c:strRef>
              <c:f>Schweppes!$M$18</c:f>
              <c:strCache>
                <c:ptCount val="1"/>
                <c:pt idx="0">
                  <c:v>Camera 2 without filter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(Schweppes!$M$20,Schweppes!$N$20,Schweppes!$O$20)</c:f>
              <c:numCache>
                <c:formatCode>General</c:formatCode>
                <c:ptCount val="3"/>
                <c:pt idx="0">
                  <c:v>-0.17</c:v>
                </c:pt>
                <c:pt idx="1">
                  <c:v>-0.13200000000000001</c:v>
                </c:pt>
                <c:pt idx="2">
                  <c:v>-0.13400000000000001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D3D-4127-8AF9-9C69F2B5F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0088863"/>
        <c:axId val="440086367"/>
      </c:lineChart>
      <c:catAx>
        <c:axId val="44008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40086367"/>
        <c:crossesAt val="-10000"/>
        <c:auto val="1"/>
        <c:lblAlgn val="ctr"/>
        <c:lblOffset val="100"/>
        <c:noMultiLvlLbl val="0"/>
      </c:catAx>
      <c:valAx>
        <c:axId val="44008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Angle Tilt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40088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Angle Tilt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0.12548403324584426"/>
          <c:y val="0.14096366716702219"/>
          <c:w val="0.58679670304369846"/>
          <c:h val="0.77478489101905745"/>
        </c:manualLayout>
      </c:layout>
      <c:lineChart>
        <c:grouping val="standard"/>
        <c:varyColors val="0"/>
        <c:ser>
          <c:idx val="0"/>
          <c:order val="0"/>
          <c:tx>
            <c:strRef>
              <c:f>Schweppes!$D$4</c:f>
              <c:strCache>
                <c:ptCount val="1"/>
                <c:pt idx="0">
                  <c:v>Camera 1 with filter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(Schweppes!$D$5,Schweppes!$E$5,Schweppes!$F$5)</c:f>
              <c:strCache>
                <c:ptCount val="3"/>
                <c:pt idx="0">
                  <c:v>Top</c:v>
                </c:pt>
                <c:pt idx="1">
                  <c:v>Middle</c:v>
                </c:pt>
                <c:pt idx="2">
                  <c:v>Bottom</c:v>
                </c:pt>
              </c:strCache>
            </c:strRef>
          </c:cat>
          <c:val>
            <c:numRef>
              <c:f>(Fluorescein!$D$6,Fluorescein!$E$6,Fluorescein!$F$6)</c:f>
              <c:numCache>
                <c:formatCode>General</c:formatCode>
                <c:ptCount val="3"/>
                <c:pt idx="0">
                  <c:v>0.53600000000000003</c:v>
                </c:pt>
                <c:pt idx="1">
                  <c:v>0.626</c:v>
                </c:pt>
                <c:pt idx="2">
                  <c:v>0.65400000000000003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89-470A-85D9-2D6DB3F9E14F}"/>
            </c:ext>
          </c:extLst>
        </c:ser>
        <c:ser>
          <c:idx val="1"/>
          <c:order val="1"/>
          <c:tx>
            <c:strRef>
              <c:f>Schweppes!$M$4</c:f>
              <c:strCache>
                <c:ptCount val="1"/>
                <c:pt idx="0">
                  <c:v>Camera 2 with filter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(Fluorescein!$M$6,Fluorescein!$N$6,Fluorescein!$O$6)</c:f>
              <c:numCache>
                <c:formatCode>General</c:formatCode>
                <c:ptCount val="3"/>
                <c:pt idx="0">
                  <c:v>0.186</c:v>
                </c:pt>
                <c:pt idx="1">
                  <c:v>0.23300000000000001</c:v>
                </c:pt>
                <c:pt idx="2">
                  <c:v>0.23699999999999999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89-470A-85D9-2D6DB3F9E14F}"/>
            </c:ext>
          </c:extLst>
        </c:ser>
        <c:ser>
          <c:idx val="2"/>
          <c:order val="2"/>
          <c:tx>
            <c:strRef>
              <c:f>Schweppes!$D$18</c:f>
              <c:strCache>
                <c:ptCount val="1"/>
                <c:pt idx="0">
                  <c:v>Camera 1 without filter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(Fluorescein!$D$20,Fluorescein!$E$20,Fluorescein!$F$20)</c:f>
              <c:numCache>
                <c:formatCode>General</c:formatCode>
                <c:ptCount val="3"/>
                <c:pt idx="0">
                  <c:v>0.55100000000000005</c:v>
                </c:pt>
                <c:pt idx="1">
                  <c:v>0.627</c:v>
                </c:pt>
                <c:pt idx="2">
                  <c:v>0.67200000000000004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89-470A-85D9-2D6DB3F9E14F}"/>
            </c:ext>
          </c:extLst>
        </c:ser>
        <c:ser>
          <c:idx val="3"/>
          <c:order val="3"/>
          <c:tx>
            <c:strRef>
              <c:f>Schweppes!$M$18</c:f>
              <c:strCache>
                <c:ptCount val="1"/>
                <c:pt idx="0">
                  <c:v>Camera 2 without filter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(Fluorescein!$M$20,Fluorescein!$N$20,Fluorescein!$O$20)</c:f>
              <c:numCache>
                <c:formatCode>General</c:formatCode>
                <c:ptCount val="3"/>
                <c:pt idx="0">
                  <c:v>0.186</c:v>
                </c:pt>
                <c:pt idx="1">
                  <c:v>0.22900000000000001</c:v>
                </c:pt>
                <c:pt idx="2">
                  <c:v>0.23899999999999999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89-470A-85D9-2D6DB3F9E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0088863"/>
        <c:axId val="440086367"/>
      </c:lineChart>
      <c:catAx>
        <c:axId val="44008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40086367"/>
        <c:crossesAt val="-10000"/>
        <c:auto val="1"/>
        <c:lblAlgn val="ctr"/>
        <c:lblOffset val="100"/>
        <c:noMultiLvlLbl val="0"/>
      </c:catAx>
      <c:valAx>
        <c:axId val="44008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Angle Tilt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40088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Angle Tilt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0.12548403324584426"/>
          <c:y val="0.14096366716702219"/>
          <c:w val="0.58679670304369846"/>
          <c:h val="0.77478489101905745"/>
        </c:manualLayout>
      </c:layout>
      <c:lineChart>
        <c:grouping val="standard"/>
        <c:varyColors val="0"/>
        <c:ser>
          <c:idx val="0"/>
          <c:order val="0"/>
          <c:tx>
            <c:strRef>
              <c:f>Schweppes!$D$4</c:f>
              <c:strCache>
                <c:ptCount val="1"/>
                <c:pt idx="0">
                  <c:v>Camera 1 with filter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(Schweppes!$D$5,Schweppes!$E$5,Schweppes!$F$5)</c:f>
              <c:strCache>
                <c:ptCount val="3"/>
                <c:pt idx="0">
                  <c:v>Top</c:v>
                </c:pt>
                <c:pt idx="1">
                  <c:v>Middle</c:v>
                </c:pt>
                <c:pt idx="2">
                  <c:v>Bottom</c:v>
                </c:pt>
              </c:strCache>
            </c:strRef>
          </c:cat>
          <c:val>
            <c:numRef>
              <c:f>(Rhodomine!$D$6,Rhodomine!$E$6,Rhodomine!$F$6)</c:f>
              <c:numCache>
                <c:formatCode>General</c:formatCode>
                <c:ptCount val="3"/>
                <c:pt idx="0">
                  <c:v>5.6000000000000001E-2</c:v>
                </c:pt>
                <c:pt idx="1">
                  <c:v>0.158</c:v>
                </c:pt>
                <c:pt idx="2">
                  <c:v>0.192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2F-4D37-8595-C767CA51192A}"/>
            </c:ext>
          </c:extLst>
        </c:ser>
        <c:ser>
          <c:idx val="1"/>
          <c:order val="1"/>
          <c:tx>
            <c:strRef>
              <c:f>Schweppes!$M$4</c:f>
              <c:strCache>
                <c:ptCount val="1"/>
                <c:pt idx="0">
                  <c:v>Camera 2 with filter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(Rhodomine!$M$6,Rhodomine!$N$6,Rhodomine!$O$6)</c:f>
              <c:numCache>
                <c:formatCode>General</c:formatCode>
                <c:ptCount val="3"/>
                <c:pt idx="0">
                  <c:v>-0.29399999999999998</c:v>
                </c:pt>
                <c:pt idx="1">
                  <c:v>-0.23</c:v>
                </c:pt>
                <c:pt idx="2">
                  <c:v>-0.27100000000000002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2F-4D37-8595-C767CA51192A}"/>
            </c:ext>
          </c:extLst>
        </c:ser>
        <c:ser>
          <c:idx val="2"/>
          <c:order val="2"/>
          <c:tx>
            <c:strRef>
              <c:f>Schweppes!$D$18</c:f>
              <c:strCache>
                <c:ptCount val="1"/>
                <c:pt idx="0">
                  <c:v>Camera 1 without filter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(Rhodomine!$D$20,Rhodomine!$E$20,Rhodomine!$F$20)</c:f>
              <c:numCache>
                <c:formatCode>General</c:formatCode>
                <c:ptCount val="3"/>
                <c:pt idx="0">
                  <c:v>4.7E-2</c:v>
                </c:pt>
                <c:pt idx="1">
                  <c:v>9.6000000000000002E-2</c:v>
                </c:pt>
                <c:pt idx="2">
                  <c:v>0.19600000000000001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2F-4D37-8595-C767CA51192A}"/>
            </c:ext>
          </c:extLst>
        </c:ser>
        <c:ser>
          <c:idx val="3"/>
          <c:order val="3"/>
          <c:tx>
            <c:strRef>
              <c:f>Schweppes!$M$18</c:f>
              <c:strCache>
                <c:ptCount val="1"/>
                <c:pt idx="0">
                  <c:v>Camera 2 without filter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(Rhodomine!$M$20,Rhodomine!$N$20,Rhodomine!$O$20)</c:f>
              <c:numCache>
                <c:formatCode>General</c:formatCode>
                <c:ptCount val="3"/>
                <c:pt idx="0">
                  <c:v>-0.312</c:v>
                </c:pt>
                <c:pt idx="1">
                  <c:v>-0.252</c:v>
                </c:pt>
                <c:pt idx="2">
                  <c:v>-0.217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F2F-4D37-8595-C767CA511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0088863"/>
        <c:axId val="440086367"/>
      </c:lineChart>
      <c:catAx>
        <c:axId val="44008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40086367"/>
        <c:crossesAt val="-10000"/>
        <c:auto val="1"/>
        <c:lblAlgn val="ctr"/>
        <c:lblOffset val="100"/>
        <c:noMultiLvlLbl val="0"/>
      </c:catAx>
      <c:valAx>
        <c:axId val="44008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Angle Tilt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40088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Angle Tilt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0.12548403324584426"/>
          <c:y val="0.14096366716702219"/>
          <c:w val="0.58679670304369846"/>
          <c:h val="0.77478489101905745"/>
        </c:manualLayout>
      </c:layout>
      <c:lineChart>
        <c:grouping val="standard"/>
        <c:varyColors val="0"/>
        <c:ser>
          <c:idx val="0"/>
          <c:order val="0"/>
          <c:tx>
            <c:strRef>
              <c:f>Schweppes!$D$4</c:f>
              <c:strCache>
                <c:ptCount val="1"/>
                <c:pt idx="0">
                  <c:v>Camera 1 with filter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(Schweppes!$D$5,Schweppes!$E$5,Schweppes!$F$5)</c:f>
              <c:strCache>
                <c:ptCount val="3"/>
                <c:pt idx="0">
                  <c:v>Top</c:v>
                </c:pt>
                <c:pt idx="1">
                  <c:v>Middle</c:v>
                </c:pt>
                <c:pt idx="2">
                  <c:v>Bottom</c:v>
                </c:pt>
              </c:strCache>
            </c:strRef>
          </c:cat>
          <c:val>
            <c:numRef>
              <c:f>('Nile Blue'!$D$6,'Nile Blue'!$E$6,'Nile Blue'!$F$6)</c:f>
              <c:numCache>
                <c:formatCode>General</c:formatCode>
                <c:ptCount val="3"/>
                <c:pt idx="0">
                  <c:v>0.19800000000000001</c:v>
                </c:pt>
                <c:pt idx="1">
                  <c:v>0.316</c:v>
                </c:pt>
                <c:pt idx="2">
                  <c:v>0.34300000000000003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65-4A59-B424-8189AEAFE112}"/>
            </c:ext>
          </c:extLst>
        </c:ser>
        <c:ser>
          <c:idx val="1"/>
          <c:order val="1"/>
          <c:tx>
            <c:strRef>
              <c:f>Schweppes!$M$4</c:f>
              <c:strCache>
                <c:ptCount val="1"/>
                <c:pt idx="0">
                  <c:v>Camera 2 with filter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('Nile Blue'!$M$6,'Nile Blue'!$N$6,'Nile Blue'!$O$6)</c:f>
              <c:numCache>
                <c:formatCode>General</c:formatCode>
                <c:ptCount val="3"/>
                <c:pt idx="0">
                  <c:v>-0.157</c:v>
                </c:pt>
                <c:pt idx="1">
                  <c:v>-7.0999999999999994E-2</c:v>
                </c:pt>
                <c:pt idx="2">
                  <c:v>-6.3E-2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65-4A59-B424-8189AEAFE112}"/>
            </c:ext>
          </c:extLst>
        </c:ser>
        <c:ser>
          <c:idx val="2"/>
          <c:order val="2"/>
          <c:tx>
            <c:strRef>
              <c:f>Schweppes!$D$18</c:f>
              <c:strCache>
                <c:ptCount val="1"/>
                <c:pt idx="0">
                  <c:v>Camera 1 without filter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('Nile Blue'!$D$20,'Nile Blue'!$E$20,'Nile Blue'!$F$20)</c:f>
              <c:numCache>
                <c:formatCode>General</c:formatCode>
                <c:ptCount val="3"/>
                <c:pt idx="0">
                  <c:v>0.2</c:v>
                </c:pt>
                <c:pt idx="1">
                  <c:v>0.29899999999999999</c:v>
                </c:pt>
                <c:pt idx="2">
                  <c:v>0.34399999999999997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65-4A59-B424-8189AEAFE112}"/>
            </c:ext>
          </c:extLst>
        </c:ser>
        <c:ser>
          <c:idx val="3"/>
          <c:order val="3"/>
          <c:tx>
            <c:strRef>
              <c:f>Schweppes!$M$18</c:f>
              <c:strCache>
                <c:ptCount val="1"/>
                <c:pt idx="0">
                  <c:v>Camera 2 without filter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('Nile Blue'!$M$20,'Nile Blue'!$N$20,'Nile Blue'!$O$20)</c:f>
              <c:numCache>
                <c:formatCode>General</c:formatCode>
                <c:ptCount val="3"/>
                <c:pt idx="0">
                  <c:v>-0.154</c:v>
                </c:pt>
                <c:pt idx="1">
                  <c:v>-8.4000000000000005E-2</c:v>
                </c:pt>
                <c:pt idx="2">
                  <c:v>-0.06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465-4A59-B424-8189AEAFE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0088863"/>
        <c:axId val="440086367"/>
      </c:lineChart>
      <c:catAx>
        <c:axId val="44008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40086367"/>
        <c:crossesAt val="-10000"/>
        <c:auto val="1"/>
        <c:lblAlgn val="ctr"/>
        <c:lblOffset val="100"/>
        <c:noMultiLvlLbl val="0"/>
      </c:catAx>
      <c:valAx>
        <c:axId val="44008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Angle Tilt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40088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Camera 1 with filter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8.5354127245722181E-2"/>
          <c:y val="0.1385472765771836"/>
          <c:w val="0.72102443589900089"/>
          <c:h val="0.74479401534100265"/>
        </c:manualLayout>
      </c:layout>
      <c:lineChart>
        <c:grouping val="standard"/>
        <c:varyColors val="0"/>
        <c:ser>
          <c:idx val="0"/>
          <c:order val="0"/>
          <c:tx>
            <c:strRef>
              <c:f>FWHM!$D$5</c:f>
              <c:strCache>
                <c:ptCount val="1"/>
                <c:pt idx="0">
                  <c:v>Schweppes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(FWHM!$C$6,FWHM!$C$7,FWHM!$C$8)</c:f>
              <c:strCache>
                <c:ptCount val="3"/>
                <c:pt idx="0">
                  <c:v>Top</c:v>
                </c:pt>
                <c:pt idx="1">
                  <c:v>Middle</c:v>
                </c:pt>
                <c:pt idx="2">
                  <c:v>Bottom</c:v>
                </c:pt>
              </c:strCache>
            </c:strRef>
          </c:cat>
          <c:val>
            <c:numRef>
              <c:f>(FWHM!$D$6,FWHM!$D$7,FWHM!$D$8)</c:f>
              <c:numCache>
                <c:formatCode>General</c:formatCode>
                <c:ptCount val="3"/>
                <c:pt idx="0">
                  <c:v>5.6740000000000004</c:v>
                </c:pt>
                <c:pt idx="1">
                  <c:v>5.4409999999999998</c:v>
                </c:pt>
                <c:pt idx="2">
                  <c:v>4.7229999999999999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B2-4CFA-9202-E05BA3E999BB}"/>
            </c:ext>
          </c:extLst>
        </c:ser>
        <c:ser>
          <c:idx val="1"/>
          <c:order val="1"/>
          <c:tx>
            <c:strRef>
              <c:f>FWHM!$E$5</c:f>
              <c:strCache>
                <c:ptCount val="1"/>
                <c:pt idx="0">
                  <c:v>Fluorescein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(FWHM!$E$6,FWHM!$E$7,FWHM!$E$8)</c:f>
              <c:numCache>
                <c:formatCode>General</c:formatCode>
                <c:ptCount val="3"/>
                <c:pt idx="0">
                  <c:v>3.875</c:v>
                </c:pt>
                <c:pt idx="1">
                  <c:v>4.0060000000000002</c:v>
                </c:pt>
                <c:pt idx="2">
                  <c:v>4.3310000000000004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B2-4CFA-9202-E05BA3E999BB}"/>
            </c:ext>
          </c:extLst>
        </c:ser>
        <c:ser>
          <c:idx val="2"/>
          <c:order val="2"/>
          <c:tx>
            <c:strRef>
              <c:f>FWHM!$F$5</c:f>
              <c:strCache>
                <c:ptCount val="1"/>
                <c:pt idx="0">
                  <c:v>Rhodomine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(FWHM!$F$6,FWHM!$F$7,FWHM!$F$8)</c:f>
              <c:numCache>
                <c:formatCode>General</c:formatCode>
                <c:ptCount val="3"/>
                <c:pt idx="0">
                  <c:v>4.3780000000000001</c:v>
                </c:pt>
                <c:pt idx="1">
                  <c:v>4.2539999999999996</c:v>
                </c:pt>
                <c:pt idx="2">
                  <c:v>4.4530000000000003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B2-4CFA-9202-E05BA3E999BB}"/>
            </c:ext>
          </c:extLst>
        </c:ser>
        <c:ser>
          <c:idx val="3"/>
          <c:order val="3"/>
          <c:tx>
            <c:strRef>
              <c:f>FWHM!$G$5</c:f>
              <c:strCache>
                <c:ptCount val="1"/>
                <c:pt idx="0">
                  <c:v>Nile Blue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(FWHM!$G$6,FWHM!$G$7,FWHM!$G$8)</c:f>
              <c:numCache>
                <c:formatCode>General</c:formatCode>
                <c:ptCount val="3"/>
                <c:pt idx="0">
                  <c:v>4.2460000000000004</c:v>
                </c:pt>
                <c:pt idx="1">
                  <c:v>4.1520000000000001</c:v>
                </c:pt>
                <c:pt idx="2">
                  <c:v>4.3650000000000002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4B2-4CFA-9202-E05BA3E99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454928"/>
        <c:axId val="1935456368"/>
      </c:lineChart>
      <c:catAx>
        <c:axId val="193545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35456368"/>
        <c:crosses val="autoZero"/>
        <c:auto val="1"/>
        <c:lblAlgn val="ctr"/>
        <c:lblOffset val="100"/>
        <c:noMultiLvlLbl val="0"/>
      </c:catAx>
      <c:valAx>
        <c:axId val="1935456368"/>
        <c:scaling>
          <c:orientation val="minMax"/>
          <c:min val="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FWHM</a:t>
                </a:r>
              </a:p>
            </c:rich>
          </c:tx>
          <c:layout>
            <c:manualLayout>
              <c:xMode val="edge"/>
              <c:yMode val="edge"/>
              <c:x val="2.7777777777777779E-3"/>
              <c:y val="0.397064012831729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3545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833290999915319"/>
          <c:y val="0.32797758705055824"/>
          <c:w val="0.18897891795783592"/>
          <c:h val="0.38664551921832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Camera 2 with filter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0.10085800321471443"/>
          <c:y val="0.129174105544858"/>
          <c:w val="0.70552055993000873"/>
          <c:h val="0.75416718637332814"/>
        </c:manualLayout>
      </c:layout>
      <c:lineChart>
        <c:grouping val="standard"/>
        <c:varyColors val="0"/>
        <c:ser>
          <c:idx val="0"/>
          <c:order val="0"/>
          <c:tx>
            <c:strRef>
              <c:f>FWHM!$D$5</c:f>
              <c:strCache>
                <c:ptCount val="1"/>
                <c:pt idx="0">
                  <c:v>Schweppes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(FWHM!$C$6,FWHM!$C$7,FWHM!$C$8)</c:f>
              <c:strCache>
                <c:ptCount val="3"/>
                <c:pt idx="0">
                  <c:v>Top</c:v>
                </c:pt>
                <c:pt idx="1">
                  <c:v>Middle</c:v>
                </c:pt>
                <c:pt idx="2">
                  <c:v>Bottom</c:v>
                </c:pt>
              </c:strCache>
            </c:strRef>
          </c:cat>
          <c:val>
            <c:numRef>
              <c:f>(FWHM!$N$6,FWHM!$N$7,FWHM!$N$8)</c:f>
              <c:numCache>
                <c:formatCode>General</c:formatCode>
                <c:ptCount val="3"/>
                <c:pt idx="0">
                  <c:v>4.7510000000000003</c:v>
                </c:pt>
                <c:pt idx="1">
                  <c:v>5.3579999999999997</c:v>
                </c:pt>
                <c:pt idx="2">
                  <c:v>4.4329999999999998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8B-4EF4-8110-6C090C3EFF3C}"/>
            </c:ext>
          </c:extLst>
        </c:ser>
        <c:ser>
          <c:idx val="1"/>
          <c:order val="1"/>
          <c:tx>
            <c:strRef>
              <c:f>FWHM!$E$5</c:f>
              <c:strCache>
                <c:ptCount val="1"/>
                <c:pt idx="0">
                  <c:v>Fluorescein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(FWHM!$O$6,FWHM!$O$7,FWHM!$O$8)</c:f>
              <c:numCache>
                <c:formatCode>General</c:formatCode>
                <c:ptCount val="3"/>
                <c:pt idx="0">
                  <c:v>3.8050000000000002</c:v>
                </c:pt>
                <c:pt idx="1">
                  <c:v>3.8719999999999999</c:v>
                </c:pt>
                <c:pt idx="2">
                  <c:v>3.964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8B-4EF4-8110-6C090C3EFF3C}"/>
            </c:ext>
          </c:extLst>
        </c:ser>
        <c:ser>
          <c:idx val="2"/>
          <c:order val="2"/>
          <c:tx>
            <c:strRef>
              <c:f>FWHM!$F$5</c:f>
              <c:strCache>
                <c:ptCount val="1"/>
                <c:pt idx="0">
                  <c:v>Rhodomine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(FWHM!$P$6,FWHM!$P$7,FWHM!$P$8)</c:f>
              <c:numCache>
                <c:formatCode>General</c:formatCode>
                <c:ptCount val="3"/>
                <c:pt idx="0">
                  <c:v>4.4729999999999999</c:v>
                </c:pt>
                <c:pt idx="1">
                  <c:v>4.45</c:v>
                </c:pt>
                <c:pt idx="2">
                  <c:v>4.8010000000000002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8B-4EF4-8110-6C090C3EFF3C}"/>
            </c:ext>
          </c:extLst>
        </c:ser>
        <c:ser>
          <c:idx val="3"/>
          <c:order val="3"/>
          <c:tx>
            <c:strRef>
              <c:f>FWHM!$G$5</c:f>
              <c:strCache>
                <c:ptCount val="1"/>
                <c:pt idx="0">
                  <c:v>Nile Blue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(FWHM!$Q$6,FWHM!$Q$7,FWHM!$Q$8)</c:f>
              <c:numCache>
                <c:formatCode>General</c:formatCode>
                <c:ptCount val="3"/>
                <c:pt idx="0">
                  <c:v>4.6070000000000002</c:v>
                </c:pt>
                <c:pt idx="1">
                  <c:v>4.8220000000000001</c:v>
                </c:pt>
                <c:pt idx="2">
                  <c:v>4.4290000000000003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38B-4EF4-8110-6C090C3EF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454928"/>
        <c:axId val="1935456368"/>
      </c:lineChart>
      <c:catAx>
        <c:axId val="193545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35456368"/>
        <c:crosses val="autoZero"/>
        <c:auto val="1"/>
        <c:lblAlgn val="ctr"/>
        <c:lblOffset val="100"/>
        <c:noMultiLvlLbl val="0"/>
      </c:catAx>
      <c:valAx>
        <c:axId val="1935456368"/>
        <c:scaling>
          <c:orientation val="minMax"/>
          <c:min val="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FWHM</a:t>
                </a:r>
              </a:p>
            </c:rich>
          </c:tx>
          <c:layout>
            <c:manualLayout>
              <c:xMode val="edge"/>
              <c:yMode val="edge"/>
              <c:x val="2.7777777777777779E-3"/>
              <c:y val="0.397064012831729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3545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833290999915319"/>
          <c:y val="0.32797758705055824"/>
          <c:w val="0.18897891795783592"/>
          <c:h val="0.38664551921832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Camera 1 without filter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8.5354127245722181E-2"/>
          <c:y val="0.1385472765771836"/>
          <c:w val="0.72102443589900089"/>
          <c:h val="0.74479401534100265"/>
        </c:manualLayout>
      </c:layout>
      <c:lineChart>
        <c:grouping val="standard"/>
        <c:varyColors val="0"/>
        <c:ser>
          <c:idx val="0"/>
          <c:order val="0"/>
          <c:tx>
            <c:strRef>
              <c:f>FWHM!$D$5</c:f>
              <c:strCache>
                <c:ptCount val="1"/>
                <c:pt idx="0">
                  <c:v>Schweppes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(FWHM!$C$6,FWHM!$C$7,FWHM!$C$8)</c:f>
              <c:strCache>
                <c:ptCount val="3"/>
                <c:pt idx="0">
                  <c:v>Top</c:v>
                </c:pt>
                <c:pt idx="1">
                  <c:v>Middle</c:v>
                </c:pt>
                <c:pt idx="2">
                  <c:v>Bottom</c:v>
                </c:pt>
              </c:strCache>
            </c:strRef>
          </c:cat>
          <c:val>
            <c:numRef>
              <c:f>(FWHM!$D$15,FWHM!$D$16,FWHM!$D$17)</c:f>
              <c:numCache>
                <c:formatCode>General</c:formatCode>
                <c:ptCount val="3"/>
                <c:pt idx="0">
                  <c:v>3.7839999999999998</c:v>
                </c:pt>
                <c:pt idx="1">
                  <c:v>3.7080000000000002</c:v>
                </c:pt>
                <c:pt idx="2">
                  <c:v>3.72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A7-4897-8F9E-D66EB88F0D05}"/>
            </c:ext>
          </c:extLst>
        </c:ser>
        <c:ser>
          <c:idx val="1"/>
          <c:order val="1"/>
          <c:tx>
            <c:strRef>
              <c:f>FWHM!$E$5</c:f>
              <c:strCache>
                <c:ptCount val="1"/>
                <c:pt idx="0">
                  <c:v>Fluorescein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(FWHM!$E$15,FWHM!$E$16,FWHM!$E$17)</c:f>
              <c:numCache>
                <c:formatCode>General</c:formatCode>
                <c:ptCount val="3"/>
                <c:pt idx="0">
                  <c:v>4.2460000000000004</c:v>
                </c:pt>
                <c:pt idx="1">
                  <c:v>4.3470000000000004</c:v>
                </c:pt>
                <c:pt idx="2">
                  <c:v>4.7039999999999997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A7-4897-8F9E-D66EB88F0D05}"/>
            </c:ext>
          </c:extLst>
        </c:ser>
        <c:ser>
          <c:idx val="2"/>
          <c:order val="2"/>
          <c:tx>
            <c:strRef>
              <c:f>FWHM!$F$5</c:f>
              <c:strCache>
                <c:ptCount val="1"/>
                <c:pt idx="0">
                  <c:v>Rhodomine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(FWHM!$F$15,FWHM!$F$16,FWHM!$F$17)</c:f>
              <c:numCache>
                <c:formatCode>General</c:formatCode>
                <c:ptCount val="3"/>
                <c:pt idx="0">
                  <c:v>4.1479999999999997</c:v>
                </c:pt>
                <c:pt idx="1">
                  <c:v>4.274</c:v>
                </c:pt>
                <c:pt idx="2">
                  <c:v>4.6459999999999999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A7-4897-8F9E-D66EB88F0D05}"/>
            </c:ext>
          </c:extLst>
        </c:ser>
        <c:ser>
          <c:idx val="3"/>
          <c:order val="3"/>
          <c:tx>
            <c:strRef>
              <c:f>FWHM!$G$5</c:f>
              <c:strCache>
                <c:ptCount val="1"/>
                <c:pt idx="0">
                  <c:v>Nile Blue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(FWHM!$G$15,FWHM!$G$16,FWHM!$G$17)</c:f>
              <c:numCache>
                <c:formatCode>General</c:formatCode>
                <c:ptCount val="3"/>
                <c:pt idx="0">
                  <c:v>4.2759999999999998</c:v>
                </c:pt>
                <c:pt idx="1">
                  <c:v>4.2050000000000001</c:v>
                </c:pt>
                <c:pt idx="2">
                  <c:v>4.5579999999999998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A7-4897-8F9E-D66EB88F0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454928"/>
        <c:axId val="1935456368"/>
      </c:lineChart>
      <c:catAx>
        <c:axId val="193545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35456368"/>
        <c:crosses val="autoZero"/>
        <c:auto val="1"/>
        <c:lblAlgn val="ctr"/>
        <c:lblOffset val="100"/>
        <c:noMultiLvlLbl val="0"/>
      </c:catAx>
      <c:valAx>
        <c:axId val="1935456368"/>
        <c:scaling>
          <c:orientation val="minMax"/>
          <c:min val="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FWHM</a:t>
                </a:r>
              </a:p>
            </c:rich>
          </c:tx>
          <c:layout>
            <c:manualLayout>
              <c:xMode val="edge"/>
              <c:yMode val="edge"/>
              <c:x val="2.7777777777777779E-3"/>
              <c:y val="0.397064012831729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3545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833290999915319"/>
          <c:y val="0.32797758705055824"/>
          <c:w val="0.18897891795783592"/>
          <c:h val="0.38664551921832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Camera 1 without filter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8.5354127245722181E-2"/>
          <c:y val="0.1385472765771836"/>
          <c:w val="0.72102443589900089"/>
          <c:h val="0.74479401534100265"/>
        </c:manualLayout>
      </c:layout>
      <c:lineChart>
        <c:grouping val="standard"/>
        <c:varyColors val="0"/>
        <c:ser>
          <c:idx val="0"/>
          <c:order val="0"/>
          <c:tx>
            <c:strRef>
              <c:f>FWHM!$D$5</c:f>
              <c:strCache>
                <c:ptCount val="1"/>
                <c:pt idx="0">
                  <c:v>Schweppes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(FWHM!$C$6,FWHM!$C$7,FWHM!$C$8)</c:f>
              <c:strCache>
                <c:ptCount val="3"/>
                <c:pt idx="0">
                  <c:v>Top</c:v>
                </c:pt>
                <c:pt idx="1">
                  <c:v>Middle</c:v>
                </c:pt>
                <c:pt idx="2">
                  <c:v>Bottom</c:v>
                </c:pt>
              </c:strCache>
            </c:strRef>
          </c:cat>
          <c:val>
            <c:numRef>
              <c:f>(FWHM!$N$15,FWHM!$N$16,FWHM!$N$17)</c:f>
              <c:numCache>
                <c:formatCode>General</c:formatCode>
                <c:ptCount val="3"/>
                <c:pt idx="0">
                  <c:v>3.65</c:v>
                </c:pt>
                <c:pt idx="1">
                  <c:v>3.8380000000000001</c:v>
                </c:pt>
                <c:pt idx="2">
                  <c:v>3.7280000000000002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57-42A8-AE87-787D9A23EA1C}"/>
            </c:ext>
          </c:extLst>
        </c:ser>
        <c:ser>
          <c:idx val="1"/>
          <c:order val="1"/>
          <c:tx>
            <c:strRef>
              <c:f>FWHM!$E$5</c:f>
              <c:strCache>
                <c:ptCount val="1"/>
                <c:pt idx="0">
                  <c:v>Fluorescein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(FWHM!$O$15,FWHM!$O$16,FWHM!$O$17)</c:f>
              <c:numCache>
                <c:formatCode>General</c:formatCode>
                <c:ptCount val="3"/>
                <c:pt idx="0">
                  <c:v>4.1100000000000003</c:v>
                </c:pt>
                <c:pt idx="1">
                  <c:v>4.0090000000000003</c:v>
                </c:pt>
                <c:pt idx="2">
                  <c:v>4.2370000000000001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57-42A8-AE87-787D9A23EA1C}"/>
            </c:ext>
          </c:extLst>
        </c:ser>
        <c:ser>
          <c:idx val="2"/>
          <c:order val="2"/>
          <c:tx>
            <c:strRef>
              <c:f>FWHM!$F$5</c:f>
              <c:strCache>
                <c:ptCount val="1"/>
                <c:pt idx="0">
                  <c:v>Rhodomine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(FWHM!$P$15,FWHM!$P$16,FWHM!$P$17)</c:f>
              <c:numCache>
                <c:formatCode>General</c:formatCode>
                <c:ptCount val="3"/>
                <c:pt idx="0">
                  <c:v>4.6159999999999997</c:v>
                </c:pt>
                <c:pt idx="1">
                  <c:v>4.6630000000000003</c:v>
                </c:pt>
                <c:pt idx="2">
                  <c:v>5.1879999999999997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57-42A8-AE87-787D9A23EA1C}"/>
            </c:ext>
          </c:extLst>
        </c:ser>
        <c:ser>
          <c:idx val="3"/>
          <c:order val="3"/>
          <c:tx>
            <c:strRef>
              <c:f>FWHM!$G$5</c:f>
              <c:strCache>
                <c:ptCount val="1"/>
                <c:pt idx="0">
                  <c:v>Nile Blue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(FWHM!$Q$15,FWHM!$Q$16,FWHM!$Q$17)</c:f>
              <c:numCache>
                <c:formatCode>General</c:formatCode>
                <c:ptCount val="3"/>
                <c:pt idx="0">
                  <c:v>4.3520000000000003</c:v>
                </c:pt>
                <c:pt idx="1">
                  <c:v>4.4560000000000004</c:v>
                </c:pt>
                <c:pt idx="2">
                  <c:v>4.234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057-42A8-AE87-787D9A23E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454928"/>
        <c:axId val="1935456368"/>
      </c:lineChart>
      <c:catAx>
        <c:axId val="193545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35456368"/>
        <c:crosses val="autoZero"/>
        <c:auto val="1"/>
        <c:lblAlgn val="ctr"/>
        <c:lblOffset val="100"/>
        <c:noMultiLvlLbl val="0"/>
      </c:catAx>
      <c:valAx>
        <c:axId val="1935456368"/>
        <c:scaling>
          <c:orientation val="minMax"/>
          <c:min val="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FWHM</a:t>
                </a:r>
              </a:p>
            </c:rich>
          </c:tx>
          <c:layout>
            <c:manualLayout>
              <c:xMode val="edge"/>
              <c:yMode val="edge"/>
              <c:x val="2.7777777777777779E-3"/>
              <c:y val="0.397064012831729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3545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833290999915319"/>
          <c:y val="0.32797758705055824"/>
          <c:w val="0.18897891795783592"/>
          <c:h val="0.38664551921832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Camera 1 with filter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0.108318175344361"/>
          <c:y val="0.11042776348020675"/>
          <c:w val="0.70293658060184327"/>
          <c:h val="0.77291352843797945"/>
        </c:manualLayout>
      </c:layout>
      <c:lineChart>
        <c:grouping val="standard"/>
        <c:varyColors val="0"/>
        <c:ser>
          <c:idx val="0"/>
          <c:order val="0"/>
          <c:tx>
            <c:strRef>
              <c:f>'Angle Tilt'!$D$5</c:f>
              <c:strCache>
                <c:ptCount val="1"/>
                <c:pt idx="0">
                  <c:v>Schweppes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('Angle Tilt'!$C$6,'Angle Tilt'!$C$7,'Angle Tilt'!$C$8)</c:f>
              <c:strCache>
                <c:ptCount val="3"/>
                <c:pt idx="0">
                  <c:v>Top</c:v>
                </c:pt>
                <c:pt idx="1">
                  <c:v>Middle</c:v>
                </c:pt>
                <c:pt idx="2">
                  <c:v>Bottom</c:v>
                </c:pt>
              </c:strCache>
            </c:strRef>
          </c:cat>
          <c:val>
            <c:numRef>
              <c:f>('Angle Tilt'!$D$6,'Angle Tilt'!$D$7,'Angle Tilt'!$D$8)</c:f>
              <c:numCache>
                <c:formatCode>General</c:formatCode>
                <c:ptCount val="3"/>
                <c:pt idx="0">
                  <c:v>9.8000000000000004E-2</c:v>
                </c:pt>
                <c:pt idx="1">
                  <c:v>0.26500000000000001</c:v>
                </c:pt>
                <c:pt idx="2">
                  <c:v>0.36099999999999999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97-443D-BB8F-FF1EC231871D}"/>
            </c:ext>
          </c:extLst>
        </c:ser>
        <c:ser>
          <c:idx val="1"/>
          <c:order val="1"/>
          <c:tx>
            <c:strRef>
              <c:f>'Angle Tilt'!$E$5</c:f>
              <c:strCache>
                <c:ptCount val="1"/>
                <c:pt idx="0">
                  <c:v>Fluorescein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('Angle Tilt'!$E$6,'Angle Tilt'!$E$7,'Angle Tilt'!$E$8)</c:f>
              <c:numCache>
                <c:formatCode>General</c:formatCode>
                <c:ptCount val="3"/>
                <c:pt idx="0">
                  <c:v>0.53600000000000003</c:v>
                </c:pt>
                <c:pt idx="1">
                  <c:v>0.626</c:v>
                </c:pt>
                <c:pt idx="2">
                  <c:v>0.65400000000000003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97-443D-BB8F-FF1EC231871D}"/>
            </c:ext>
          </c:extLst>
        </c:ser>
        <c:ser>
          <c:idx val="2"/>
          <c:order val="2"/>
          <c:tx>
            <c:strRef>
              <c:f>'Angle Tilt'!$F$5</c:f>
              <c:strCache>
                <c:ptCount val="1"/>
                <c:pt idx="0">
                  <c:v>Rhodomine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('Angle Tilt'!$F$6,'Angle Tilt'!$F$7,'Angle Tilt'!$F$8)</c:f>
              <c:numCache>
                <c:formatCode>General</c:formatCode>
                <c:ptCount val="3"/>
                <c:pt idx="0">
                  <c:v>5.6000000000000001E-2</c:v>
                </c:pt>
                <c:pt idx="1">
                  <c:v>0.158</c:v>
                </c:pt>
                <c:pt idx="2">
                  <c:v>0.192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97-443D-BB8F-FF1EC231871D}"/>
            </c:ext>
          </c:extLst>
        </c:ser>
        <c:ser>
          <c:idx val="3"/>
          <c:order val="3"/>
          <c:tx>
            <c:strRef>
              <c:f>'Angle Tilt'!$G$5</c:f>
              <c:strCache>
                <c:ptCount val="1"/>
                <c:pt idx="0">
                  <c:v>Nile Blue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('Angle Tilt'!$G$6,'Angle Tilt'!$G$7,'Angle Tilt'!$G$8)</c:f>
              <c:numCache>
                <c:formatCode>General</c:formatCode>
                <c:ptCount val="3"/>
                <c:pt idx="0">
                  <c:v>0.19800000000000001</c:v>
                </c:pt>
                <c:pt idx="1">
                  <c:v>0.316</c:v>
                </c:pt>
                <c:pt idx="2">
                  <c:v>0.34300000000000003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B97-443D-BB8F-FF1EC2318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454928"/>
        <c:axId val="1935456368"/>
      </c:lineChart>
      <c:catAx>
        <c:axId val="193545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35456368"/>
        <c:crosses val="autoZero"/>
        <c:auto val="1"/>
        <c:lblAlgn val="ctr"/>
        <c:lblOffset val="100"/>
        <c:noMultiLvlLbl val="0"/>
      </c:catAx>
      <c:valAx>
        <c:axId val="193545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Angle Tilt</a:t>
                </a:r>
              </a:p>
            </c:rich>
          </c:tx>
          <c:layout>
            <c:manualLayout>
              <c:xMode val="edge"/>
              <c:yMode val="edge"/>
              <c:x val="1.9390018108201594E-4"/>
              <c:y val="0.406437301973310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3545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833290999915319"/>
          <c:y val="0.32797758705055824"/>
          <c:w val="0.18682211235223503"/>
          <c:h val="0.316346736475879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Camera 2 with filter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0.108318175344361"/>
          <c:y val="0.11042776348020675"/>
          <c:w val="0.70293658060184327"/>
          <c:h val="0.77291352843797945"/>
        </c:manualLayout>
      </c:layout>
      <c:lineChart>
        <c:grouping val="standard"/>
        <c:varyColors val="0"/>
        <c:ser>
          <c:idx val="0"/>
          <c:order val="0"/>
          <c:tx>
            <c:strRef>
              <c:f>'Angle Tilt'!$D$5</c:f>
              <c:strCache>
                <c:ptCount val="1"/>
                <c:pt idx="0">
                  <c:v>Schweppes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('Angle Tilt'!$C$6,'Angle Tilt'!$C$7,'Angle Tilt'!$C$8)</c:f>
              <c:strCache>
                <c:ptCount val="3"/>
                <c:pt idx="0">
                  <c:v>Top</c:v>
                </c:pt>
                <c:pt idx="1">
                  <c:v>Middle</c:v>
                </c:pt>
                <c:pt idx="2">
                  <c:v>Bottom</c:v>
                </c:pt>
              </c:strCache>
            </c:strRef>
          </c:cat>
          <c:val>
            <c:numRef>
              <c:f>('Angle Tilt'!$N$6,'Angle Tilt'!$N$7,'Angle Tilt'!$N$8)</c:f>
              <c:numCache>
                <c:formatCode>General</c:formatCode>
                <c:ptCount val="3"/>
                <c:pt idx="0">
                  <c:v>-0.17699999999999999</c:v>
                </c:pt>
                <c:pt idx="1">
                  <c:v>-0.14000000000000001</c:v>
                </c:pt>
                <c:pt idx="2">
                  <c:v>-0.14199999999999999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48-43EC-BC44-F9BE10B80BDA}"/>
            </c:ext>
          </c:extLst>
        </c:ser>
        <c:ser>
          <c:idx val="1"/>
          <c:order val="1"/>
          <c:tx>
            <c:strRef>
              <c:f>'Angle Tilt'!$E$5</c:f>
              <c:strCache>
                <c:ptCount val="1"/>
                <c:pt idx="0">
                  <c:v>Fluorescein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('Angle Tilt'!$O$6,'Angle Tilt'!$O$7,'Angle Tilt'!$O$8)</c:f>
              <c:numCache>
                <c:formatCode>General</c:formatCode>
                <c:ptCount val="3"/>
                <c:pt idx="0">
                  <c:v>0.186</c:v>
                </c:pt>
                <c:pt idx="1">
                  <c:v>0.23300000000000001</c:v>
                </c:pt>
                <c:pt idx="2">
                  <c:v>0.23699999999999999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48-43EC-BC44-F9BE10B80BDA}"/>
            </c:ext>
          </c:extLst>
        </c:ser>
        <c:ser>
          <c:idx val="2"/>
          <c:order val="2"/>
          <c:tx>
            <c:strRef>
              <c:f>'Angle Tilt'!$F$5</c:f>
              <c:strCache>
                <c:ptCount val="1"/>
                <c:pt idx="0">
                  <c:v>Rhodomine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('Angle Tilt'!$P$6,'Angle Tilt'!$P$7,'Angle Tilt'!$P$8)</c:f>
              <c:numCache>
                <c:formatCode>General</c:formatCode>
                <c:ptCount val="3"/>
                <c:pt idx="0">
                  <c:v>-0.29399999999999998</c:v>
                </c:pt>
                <c:pt idx="1">
                  <c:v>-0.23</c:v>
                </c:pt>
                <c:pt idx="2">
                  <c:v>-0.27100000000000002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48-43EC-BC44-F9BE10B80BDA}"/>
            </c:ext>
          </c:extLst>
        </c:ser>
        <c:ser>
          <c:idx val="3"/>
          <c:order val="3"/>
          <c:tx>
            <c:strRef>
              <c:f>'Angle Tilt'!$G$5</c:f>
              <c:strCache>
                <c:ptCount val="1"/>
                <c:pt idx="0">
                  <c:v>Nile Blue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('Angle Tilt'!$Q$6,'Angle Tilt'!$Q$7,'Angle Tilt'!$Q$8)</c:f>
              <c:numCache>
                <c:formatCode>General</c:formatCode>
                <c:ptCount val="3"/>
                <c:pt idx="0">
                  <c:v>-0.157</c:v>
                </c:pt>
                <c:pt idx="1">
                  <c:v>-7.0999999999999994E-2</c:v>
                </c:pt>
                <c:pt idx="2">
                  <c:v>-6.3E-2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48-43EC-BC44-F9BE10B80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454928"/>
        <c:axId val="1935456368"/>
      </c:lineChart>
      <c:catAx>
        <c:axId val="193545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35456368"/>
        <c:crossesAt val="-100"/>
        <c:auto val="1"/>
        <c:lblAlgn val="ctr"/>
        <c:lblOffset val="100"/>
        <c:noMultiLvlLbl val="0"/>
      </c:catAx>
      <c:valAx>
        <c:axId val="193545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Angle Tilt</a:t>
                </a:r>
              </a:p>
            </c:rich>
          </c:tx>
          <c:layout>
            <c:manualLayout>
              <c:xMode val="edge"/>
              <c:yMode val="edge"/>
              <c:x val="2.7778795092473904E-3"/>
              <c:y val="0.406437301973310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3545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833290999915319"/>
          <c:y val="0.32797758705055824"/>
          <c:w val="0.18682211235223503"/>
          <c:h val="0.316346736475879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Camera 1 with filter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0.108318175344361"/>
          <c:y val="0.11042776348020675"/>
          <c:w val="0.70293658060184327"/>
          <c:h val="0.77291352843797945"/>
        </c:manualLayout>
      </c:layout>
      <c:lineChart>
        <c:grouping val="standard"/>
        <c:varyColors val="0"/>
        <c:ser>
          <c:idx val="0"/>
          <c:order val="0"/>
          <c:tx>
            <c:strRef>
              <c:f>Focus!$D$5</c:f>
              <c:strCache>
                <c:ptCount val="1"/>
                <c:pt idx="0">
                  <c:v>Schweppes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(Focus!$C$6,Focus!$C$7,Focus!$C$8)</c:f>
              <c:strCache>
                <c:ptCount val="3"/>
                <c:pt idx="0">
                  <c:v>Top</c:v>
                </c:pt>
                <c:pt idx="1">
                  <c:v>Middle</c:v>
                </c:pt>
                <c:pt idx="2">
                  <c:v>Bottom</c:v>
                </c:pt>
              </c:strCache>
            </c:strRef>
          </c:cat>
          <c:val>
            <c:numRef>
              <c:f>(Focus!$D$6,Focus!$D$7,Focus!$D$8)</c:f>
              <c:numCache>
                <c:formatCode>General</c:formatCode>
                <c:ptCount val="3"/>
                <c:pt idx="0">
                  <c:v>879</c:v>
                </c:pt>
                <c:pt idx="1">
                  <c:v>945</c:v>
                </c:pt>
                <c:pt idx="2">
                  <c:v>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42D-4D65-8353-0EB88A76CA07}"/>
            </c:ext>
          </c:extLst>
        </c:ser>
        <c:ser>
          <c:idx val="1"/>
          <c:order val="1"/>
          <c:tx>
            <c:strRef>
              <c:f>Focus!$E$5</c:f>
              <c:strCache>
                <c:ptCount val="1"/>
                <c:pt idx="0">
                  <c:v>Fluorescein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(Focus!$E$6,Focus!$E$7,Focus!$E$8)</c:f>
              <c:numCache>
                <c:formatCode>General</c:formatCode>
                <c:ptCount val="3"/>
                <c:pt idx="0">
                  <c:v>921</c:v>
                </c:pt>
                <c:pt idx="1">
                  <c:v>958</c:v>
                </c:pt>
                <c:pt idx="2">
                  <c:v>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42D-4D65-8353-0EB88A76CA07}"/>
            </c:ext>
          </c:extLst>
        </c:ser>
        <c:ser>
          <c:idx val="2"/>
          <c:order val="2"/>
          <c:tx>
            <c:strRef>
              <c:f>Focus!$F$5</c:f>
              <c:strCache>
                <c:ptCount val="1"/>
                <c:pt idx="0">
                  <c:v>Rhodomine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(Focus!$F$6,Focus!$F$7,Focus!$F$8)</c:f>
              <c:numCache>
                <c:formatCode>General</c:formatCode>
                <c:ptCount val="3"/>
                <c:pt idx="0">
                  <c:v>765</c:v>
                </c:pt>
                <c:pt idx="1">
                  <c:v>788</c:v>
                </c:pt>
                <c:pt idx="2">
                  <c:v>761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42D-4D65-8353-0EB88A76CA07}"/>
            </c:ext>
          </c:extLst>
        </c:ser>
        <c:ser>
          <c:idx val="3"/>
          <c:order val="3"/>
          <c:tx>
            <c:strRef>
              <c:f>Focus!$G$5</c:f>
              <c:strCache>
                <c:ptCount val="1"/>
                <c:pt idx="0">
                  <c:v>Nile Blue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(Focus!$G$6,Focus!$G$7,Focus!$G$8)</c:f>
              <c:numCache>
                <c:formatCode>General</c:formatCode>
                <c:ptCount val="3"/>
                <c:pt idx="0">
                  <c:v>866</c:v>
                </c:pt>
                <c:pt idx="1">
                  <c:v>884</c:v>
                </c:pt>
                <c:pt idx="2">
                  <c:v>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42D-4D65-8353-0EB88A76C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454928"/>
        <c:axId val="1935456368"/>
      </c:lineChart>
      <c:catAx>
        <c:axId val="193545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35456368"/>
        <c:crosses val="autoZero"/>
        <c:auto val="1"/>
        <c:lblAlgn val="ctr"/>
        <c:lblOffset val="100"/>
        <c:noMultiLvlLbl val="0"/>
      </c:catAx>
      <c:valAx>
        <c:axId val="1935456368"/>
        <c:scaling>
          <c:orientation val="minMax"/>
          <c:min val="7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Focus</a:t>
                </a:r>
              </a:p>
            </c:rich>
          </c:tx>
          <c:layout>
            <c:manualLayout>
              <c:xMode val="edge"/>
              <c:yMode val="edge"/>
              <c:x val="2.7778795092473904E-3"/>
              <c:y val="0.406437301973310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3545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833290999915319"/>
          <c:y val="0.32797758705055824"/>
          <c:w val="0.18682211235223503"/>
          <c:h val="0.316346736475879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Camera 2 with filter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0.108318175344361"/>
          <c:y val="0.11042776348020675"/>
          <c:w val="0.70293658060184327"/>
          <c:h val="0.77291352843797945"/>
        </c:manualLayout>
      </c:layout>
      <c:lineChart>
        <c:grouping val="standard"/>
        <c:varyColors val="0"/>
        <c:ser>
          <c:idx val="0"/>
          <c:order val="0"/>
          <c:tx>
            <c:strRef>
              <c:f>Focus!$D$5</c:f>
              <c:strCache>
                <c:ptCount val="1"/>
                <c:pt idx="0">
                  <c:v>Schweppes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(Focus!$C$6,Focus!$C$7,Focus!$C$8)</c:f>
              <c:strCache>
                <c:ptCount val="3"/>
                <c:pt idx="0">
                  <c:v>Top</c:v>
                </c:pt>
                <c:pt idx="1">
                  <c:v>Middle</c:v>
                </c:pt>
                <c:pt idx="2">
                  <c:v>Bottom</c:v>
                </c:pt>
              </c:strCache>
            </c:strRef>
          </c:cat>
          <c:val>
            <c:numRef>
              <c:f>(Focus!$N$6,Focus!$N$7,Focus!$N$8)</c:f>
              <c:numCache>
                <c:formatCode>General</c:formatCode>
                <c:ptCount val="3"/>
                <c:pt idx="0">
                  <c:v>1052</c:v>
                </c:pt>
                <c:pt idx="1">
                  <c:v>1096</c:v>
                </c:pt>
                <c:pt idx="2">
                  <c:v>1050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12-4E4E-86F9-765C5E53870A}"/>
            </c:ext>
          </c:extLst>
        </c:ser>
        <c:ser>
          <c:idx val="1"/>
          <c:order val="1"/>
          <c:tx>
            <c:strRef>
              <c:f>Focus!$E$5</c:f>
              <c:strCache>
                <c:ptCount val="1"/>
                <c:pt idx="0">
                  <c:v>Fluorescein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(Focus!$O$6,Focus!$O$7,Focus!$O$8)</c:f>
              <c:numCache>
                <c:formatCode>General</c:formatCode>
                <c:ptCount val="3"/>
                <c:pt idx="0">
                  <c:v>1086</c:v>
                </c:pt>
                <c:pt idx="1">
                  <c:v>1125</c:v>
                </c:pt>
                <c:pt idx="2">
                  <c:v>1093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12-4E4E-86F9-765C5E53870A}"/>
            </c:ext>
          </c:extLst>
        </c:ser>
        <c:ser>
          <c:idx val="2"/>
          <c:order val="2"/>
          <c:tx>
            <c:strRef>
              <c:f>Focus!$F$5</c:f>
              <c:strCache>
                <c:ptCount val="1"/>
                <c:pt idx="0">
                  <c:v>Rhodomine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(Focus!$P$6,Focus!$P$7,Focus!$P$8)</c:f>
              <c:numCache>
                <c:formatCode>General</c:formatCode>
                <c:ptCount val="3"/>
                <c:pt idx="0">
                  <c:v>925</c:v>
                </c:pt>
                <c:pt idx="1">
                  <c:v>960</c:v>
                </c:pt>
                <c:pt idx="2">
                  <c:v>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12-4E4E-86F9-765C5E53870A}"/>
            </c:ext>
          </c:extLst>
        </c:ser>
        <c:ser>
          <c:idx val="3"/>
          <c:order val="3"/>
          <c:tx>
            <c:strRef>
              <c:f>Focus!$G$5</c:f>
              <c:strCache>
                <c:ptCount val="1"/>
                <c:pt idx="0">
                  <c:v>Nile Blue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(Focus!$Q$6,Focus!$Q$7,Focus!$Q$8)</c:f>
              <c:numCache>
                <c:formatCode>General</c:formatCode>
                <c:ptCount val="3"/>
                <c:pt idx="0">
                  <c:v>1030</c:v>
                </c:pt>
                <c:pt idx="1">
                  <c:v>1053</c:v>
                </c:pt>
                <c:pt idx="2">
                  <c:v>1033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12-4E4E-86F9-765C5E538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454928"/>
        <c:axId val="1935456368"/>
      </c:lineChart>
      <c:catAx>
        <c:axId val="193545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35456368"/>
        <c:crosses val="autoZero"/>
        <c:auto val="1"/>
        <c:lblAlgn val="ctr"/>
        <c:lblOffset val="100"/>
        <c:noMultiLvlLbl val="0"/>
      </c:catAx>
      <c:valAx>
        <c:axId val="1935456368"/>
        <c:scaling>
          <c:orientation val="minMax"/>
          <c:min val="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Focus</a:t>
                </a:r>
              </a:p>
            </c:rich>
          </c:tx>
          <c:layout>
            <c:manualLayout>
              <c:xMode val="edge"/>
              <c:yMode val="edge"/>
              <c:x val="2.7778795092473904E-3"/>
              <c:y val="0.406437301973310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3545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833290999915319"/>
          <c:y val="0.32797758705055824"/>
          <c:w val="0.18682211235223503"/>
          <c:h val="0.316346736475879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Camera 1 without filter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0.108318175344361"/>
          <c:y val="0.11042776348020675"/>
          <c:w val="0.70293658060184327"/>
          <c:h val="0.77291352843797945"/>
        </c:manualLayout>
      </c:layout>
      <c:lineChart>
        <c:grouping val="standard"/>
        <c:varyColors val="0"/>
        <c:ser>
          <c:idx val="0"/>
          <c:order val="0"/>
          <c:tx>
            <c:strRef>
              <c:f>Focus!$D$5</c:f>
              <c:strCache>
                <c:ptCount val="1"/>
                <c:pt idx="0">
                  <c:v>Schweppes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(Focus!$C$6,Focus!$C$7,Focus!$C$8)</c:f>
              <c:strCache>
                <c:ptCount val="3"/>
                <c:pt idx="0">
                  <c:v>Top</c:v>
                </c:pt>
                <c:pt idx="1">
                  <c:v>Middle</c:v>
                </c:pt>
                <c:pt idx="2">
                  <c:v>Bottom</c:v>
                </c:pt>
              </c:strCache>
            </c:strRef>
          </c:cat>
          <c:val>
            <c:numRef>
              <c:f>Focus!$D$15:$D$17</c:f>
              <c:numCache>
                <c:formatCode>General</c:formatCode>
                <c:ptCount val="3"/>
                <c:pt idx="0">
                  <c:v>883</c:v>
                </c:pt>
                <c:pt idx="1">
                  <c:v>927</c:v>
                </c:pt>
                <c:pt idx="2">
                  <c:v>878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DB-408B-A9B2-D6800A30A17A}"/>
            </c:ext>
          </c:extLst>
        </c:ser>
        <c:ser>
          <c:idx val="1"/>
          <c:order val="1"/>
          <c:tx>
            <c:strRef>
              <c:f>Focus!$E$5</c:f>
              <c:strCache>
                <c:ptCount val="1"/>
                <c:pt idx="0">
                  <c:v>Fluorescein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Focus!$E$15:$E$17</c:f>
              <c:numCache>
                <c:formatCode>General</c:formatCode>
                <c:ptCount val="3"/>
                <c:pt idx="0">
                  <c:v>929</c:v>
                </c:pt>
                <c:pt idx="1">
                  <c:v>971</c:v>
                </c:pt>
                <c:pt idx="2">
                  <c:v>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DB-408B-A9B2-D6800A30A17A}"/>
            </c:ext>
          </c:extLst>
        </c:ser>
        <c:ser>
          <c:idx val="2"/>
          <c:order val="2"/>
          <c:tx>
            <c:strRef>
              <c:f>Focus!$F$5</c:f>
              <c:strCache>
                <c:ptCount val="1"/>
                <c:pt idx="0">
                  <c:v>Rhodomine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Focus!$F$15:$F$17</c:f>
              <c:numCache>
                <c:formatCode>General</c:formatCode>
                <c:ptCount val="3"/>
                <c:pt idx="0">
                  <c:v>768</c:v>
                </c:pt>
                <c:pt idx="1">
                  <c:v>779</c:v>
                </c:pt>
                <c:pt idx="2">
                  <c:v>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DB-408B-A9B2-D6800A30A17A}"/>
            </c:ext>
          </c:extLst>
        </c:ser>
        <c:ser>
          <c:idx val="3"/>
          <c:order val="3"/>
          <c:tx>
            <c:strRef>
              <c:f>Focus!$G$5</c:f>
              <c:strCache>
                <c:ptCount val="1"/>
                <c:pt idx="0">
                  <c:v>Nile Blue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Focus!$G$15:$G$17</c:f>
              <c:numCache>
                <c:formatCode>General</c:formatCode>
                <c:ptCount val="3"/>
                <c:pt idx="0">
                  <c:v>865</c:v>
                </c:pt>
                <c:pt idx="1">
                  <c:v>887</c:v>
                </c:pt>
                <c:pt idx="2">
                  <c:v>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FDB-408B-A9B2-D6800A30A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454928"/>
        <c:axId val="1935456368"/>
      </c:lineChart>
      <c:catAx>
        <c:axId val="193545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35456368"/>
        <c:crosses val="autoZero"/>
        <c:auto val="1"/>
        <c:lblAlgn val="ctr"/>
        <c:lblOffset val="100"/>
        <c:noMultiLvlLbl val="0"/>
      </c:catAx>
      <c:valAx>
        <c:axId val="1935456368"/>
        <c:scaling>
          <c:orientation val="minMax"/>
          <c:min val="7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Focus</a:t>
                </a:r>
              </a:p>
            </c:rich>
          </c:tx>
          <c:layout>
            <c:manualLayout>
              <c:xMode val="edge"/>
              <c:yMode val="edge"/>
              <c:x val="2.7778795092473904E-3"/>
              <c:y val="0.406437301973310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3545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833290999915319"/>
          <c:y val="0.32797758705055824"/>
          <c:w val="0.18682211235223503"/>
          <c:h val="0.316346736475879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Focus in FOV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0.11933415606430139"/>
          <c:y val="0.11991449965190318"/>
          <c:w val="0.69192064744633552"/>
          <c:h val="0.76342675176364072"/>
        </c:manualLayout>
      </c:layout>
      <c:scatterChart>
        <c:scatterStyle val="lineMarker"/>
        <c:varyColors val="0"/>
        <c:ser>
          <c:idx val="0"/>
          <c:order val="0"/>
          <c:tx>
            <c:v>Top (2950)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(Focus!$J$5,Focus!$J$8,Focus!$J$11,Focus!$J$14)</c:f>
              <c:numCache>
                <c:formatCode>General</c:formatCode>
                <c:ptCount val="4"/>
                <c:pt idx="0">
                  <c:v>0.8</c:v>
                </c:pt>
                <c:pt idx="1">
                  <c:v>1.8</c:v>
                </c:pt>
                <c:pt idx="2">
                  <c:v>2.8</c:v>
                </c:pt>
                <c:pt idx="3">
                  <c:v>3.8</c:v>
                </c:pt>
              </c:numCache>
            </c:numRef>
          </c:xVal>
          <c:yVal>
            <c:numRef>
              <c:f>Focus!$N$6:$Q$6</c:f>
              <c:numCache>
                <c:formatCode>General</c:formatCode>
                <c:ptCount val="4"/>
                <c:pt idx="0">
                  <c:v>1052</c:v>
                </c:pt>
                <c:pt idx="1">
                  <c:v>1086</c:v>
                </c:pt>
                <c:pt idx="2">
                  <c:v>925</c:v>
                </c:pt>
                <c:pt idx="3">
                  <c:v>1030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0E7-48EA-AFAB-42952FFAA245}"/>
            </c:ext>
          </c:extLst>
        </c:ser>
        <c:ser>
          <c:idx val="1"/>
          <c:order val="1"/>
          <c:tx>
            <c:v>Middle (0)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(Focus!$J$6,Focus!$J$9,Focus!$J$12,Focus!$J$15)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Focus!$N$7:$Q$7</c:f>
              <c:numCache>
                <c:formatCode>General</c:formatCode>
                <c:ptCount val="4"/>
                <c:pt idx="0">
                  <c:v>1096</c:v>
                </c:pt>
                <c:pt idx="1">
                  <c:v>1125</c:v>
                </c:pt>
                <c:pt idx="2">
                  <c:v>960</c:v>
                </c:pt>
                <c:pt idx="3">
                  <c:v>1053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0E7-48EA-AFAB-42952FFAA245}"/>
            </c:ext>
          </c:extLst>
        </c:ser>
        <c:ser>
          <c:idx val="2"/>
          <c:order val="2"/>
          <c:tx>
            <c:v>Bottom (-2500)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(Focus!$J$7,Focus!$J$10,Focus!$J$13,Focus!$J$16)</c:f>
              <c:numCache>
                <c:formatCode>General</c:formatCode>
                <c:ptCount val="4"/>
                <c:pt idx="0">
                  <c:v>1.2</c:v>
                </c:pt>
                <c:pt idx="1">
                  <c:v>2.2000000000000002</c:v>
                </c:pt>
                <c:pt idx="2">
                  <c:v>3.2</c:v>
                </c:pt>
                <c:pt idx="3">
                  <c:v>4.2</c:v>
                </c:pt>
              </c:numCache>
            </c:numRef>
          </c:xVal>
          <c:yVal>
            <c:numRef>
              <c:f>Focus!$N$8:$Q$8</c:f>
              <c:numCache>
                <c:formatCode>General</c:formatCode>
                <c:ptCount val="4"/>
                <c:pt idx="0">
                  <c:v>1050</c:v>
                </c:pt>
                <c:pt idx="1">
                  <c:v>1093</c:v>
                </c:pt>
                <c:pt idx="2">
                  <c:v>927</c:v>
                </c:pt>
                <c:pt idx="3">
                  <c:v>1033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0E7-48EA-AFAB-42952FFAA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5454928"/>
        <c:axId val="1935456368"/>
      </c:scatterChart>
      <c:valAx>
        <c:axId val="1935454928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Scanner Position (scanner units) in solutions</a:t>
                </a:r>
              </a:p>
            </c:rich>
          </c:tx>
          <c:layout>
            <c:manualLayout>
              <c:xMode val="edge"/>
              <c:yMode val="edge"/>
              <c:x val="0.22702479180707419"/>
              <c:y val="0.931605161327723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crossAx val="1935456368"/>
        <c:crosses val="autoZero"/>
        <c:crossBetween val="midCat"/>
      </c:valAx>
      <c:valAx>
        <c:axId val="1935456368"/>
        <c:scaling>
          <c:orientation val="minMax"/>
          <c:min val="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Focus position(px)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35454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786840633816439"/>
          <c:y val="0.3750226649468682"/>
          <c:w val="0.17213151430092977"/>
          <c:h val="0.207505401920647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704849</xdr:colOff>
      <xdr:row>26</xdr:row>
      <xdr:rowOff>133349</xdr:rowOff>
    </xdr:from>
    <xdr:to>
      <xdr:col>14</xdr:col>
      <xdr:colOff>628650</xdr:colOff>
      <xdr:row>43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26</xdr:row>
      <xdr:rowOff>123825</xdr:rowOff>
    </xdr:from>
    <xdr:to>
      <xdr:col>11</xdr:col>
      <xdr:colOff>581026</xdr:colOff>
      <xdr:row>43</xdr:row>
      <xdr:rowOff>47626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561975</xdr:colOff>
      <xdr:row>29</xdr:row>
      <xdr:rowOff>76200</xdr:rowOff>
    </xdr:from>
    <xdr:to>
      <xdr:col>11</xdr:col>
      <xdr:colOff>304800</xdr:colOff>
      <xdr:row>46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31</xdr:row>
      <xdr:rowOff>0</xdr:rowOff>
    </xdr:from>
    <xdr:to>
      <xdr:col>12</xdr:col>
      <xdr:colOff>590550</xdr:colOff>
      <xdr:row>45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30</xdr:row>
      <xdr:rowOff>161925</xdr:rowOff>
    </xdr:from>
    <xdr:to>
      <xdr:col>12</xdr:col>
      <xdr:colOff>381000</xdr:colOff>
      <xdr:row>45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29</xdr:row>
      <xdr:rowOff>104775</xdr:rowOff>
    </xdr:from>
    <xdr:to>
      <xdr:col>12</xdr:col>
      <xdr:colOff>352425</xdr:colOff>
      <xdr:row>44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30</xdr:row>
      <xdr:rowOff>9525</xdr:rowOff>
    </xdr:from>
    <xdr:to>
      <xdr:col>13</xdr:col>
      <xdr:colOff>114300</xdr:colOff>
      <xdr:row>45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18</xdr:row>
      <xdr:rowOff>133350</xdr:rowOff>
    </xdr:from>
    <xdr:to>
      <xdr:col>9</xdr:col>
      <xdr:colOff>9525</xdr:colOff>
      <xdr:row>32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88DEE0-B3DD-8709-1395-061A066955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123825</xdr:colOff>
      <xdr:row>18</xdr:row>
      <xdr:rowOff>142875</xdr:rowOff>
    </xdr:from>
    <xdr:to>
      <xdr:col>18</xdr:col>
      <xdr:colOff>295275</xdr:colOff>
      <xdr:row>32</xdr:row>
      <xdr:rowOff>185737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EA63FB-300D-42B0-AA30-A225061E8E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133350</xdr:colOff>
      <xdr:row>34</xdr:row>
      <xdr:rowOff>95250</xdr:rowOff>
    </xdr:from>
    <xdr:to>
      <xdr:col>9</xdr:col>
      <xdr:colOff>9525</xdr:colOff>
      <xdr:row>48</xdr:row>
      <xdr:rowOff>138112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0377A5F-7634-4881-ABEB-8B6BB11974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76200</xdr:colOff>
      <xdr:row>34</xdr:row>
      <xdr:rowOff>19050</xdr:rowOff>
    </xdr:from>
    <xdr:to>
      <xdr:col>18</xdr:col>
      <xdr:colOff>247650</xdr:colOff>
      <xdr:row>48</xdr:row>
      <xdr:rowOff>61912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3A8F38F-460D-403A-BF60-92244B5B8C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314325</xdr:colOff>
      <xdr:row>20</xdr:row>
      <xdr:rowOff>38100</xdr:rowOff>
    </xdr:from>
    <xdr:to>
      <xdr:col>8</xdr:col>
      <xdr:colOff>381000</xdr:colOff>
      <xdr:row>34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70C5EC-D0B8-487F-8278-6A547AFB5E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19050</xdr:colOff>
      <xdr:row>20</xdr:row>
      <xdr:rowOff>57150</xdr:rowOff>
    </xdr:from>
    <xdr:to>
      <xdr:col>18</xdr:col>
      <xdr:colOff>95250</xdr:colOff>
      <xdr:row>34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7DDB95-5671-4027-AD57-565881F7B5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18</xdr:row>
      <xdr:rowOff>76200</xdr:rowOff>
    </xdr:from>
    <xdr:to>
      <xdr:col>8</xdr:col>
      <xdr:colOff>447675</xdr:colOff>
      <xdr:row>32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A9FB61-2841-41F6-8523-80D1DFDF0D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66675</xdr:colOff>
      <xdr:row>17</xdr:row>
      <xdr:rowOff>180975</xdr:rowOff>
    </xdr:from>
    <xdr:to>
      <xdr:col>18</xdr:col>
      <xdr:colOff>142875</xdr:colOff>
      <xdr:row>32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30FE42-B8E3-418F-920B-CFBD0E7C77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381000</xdr:colOff>
      <xdr:row>33</xdr:row>
      <xdr:rowOff>180975</xdr:rowOff>
    </xdr:from>
    <xdr:to>
      <xdr:col>8</xdr:col>
      <xdr:colOff>447675</xdr:colOff>
      <xdr:row>48</xdr:row>
      <xdr:rowOff>33337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8B9D1A-8C89-4732-99CD-52711C7E49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480222</xdr:colOff>
      <xdr:row>1</xdr:row>
      <xdr:rowOff>131568</xdr:rowOff>
    </xdr:from>
    <xdr:to>
      <xdr:col>25</xdr:col>
      <xdr:colOff>434175</xdr:colOff>
      <xdr:row>18</xdr:row>
      <xdr:rowOff>98677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6AA2F70D-B610-467D-AB82-2171DE59C7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0.14245</cdr:x>
      <cdr:y>0.86981</cdr:y>
    </cdr:from>
    <cdr:to>
      <cdr:x>0.33333</cdr:x>
      <cdr:y>0.95573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68807FC9-267A-6229-25A7-613AB32D3C3E}"/>
            </a:ext>
          </a:extLst>
        </cdr:cNvPr>
        <cdr:cNvSpPr txBox="1"/>
      </cdr:nvSpPr>
      <cdr:spPr>
        <a:xfrm xmlns:a="http://schemas.openxmlformats.org/drawingml/2006/main">
          <a:off x="670022" y="2700765"/>
          <a:ext cx="897834" cy="26677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PT" sz="1100" kern="1200"/>
            <a:t>Schweppes</a:t>
          </a:r>
        </a:p>
      </cdr:txBody>
    </cdr:sp>
  </cdr:relSizeAnchor>
  <cdr:relSizeAnchor xmlns:cdr="http://schemas.openxmlformats.org/drawingml/2006/chartDrawing">
    <cdr:from>
      <cdr:x>0.30162</cdr:x>
      <cdr:y>0.87392</cdr:y>
    </cdr:from>
    <cdr:to>
      <cdr:x>0.49251</cdr:x>
      <cdr:y>0.95984</cdr:y>
    </cdr:to>
    <cdr:sp macro="" textlink="">
      <cdr:nvSpPr>
        <cdr:cNvPr id="3" name="CaixaDeTexto 1">
          <a:extLst xmlns:a="http://schemas.openxmlformats.org/drawingml/2006/main">
            <a:ext uri="{FF2B5EF4-FFF2-40B4-BE49-F238E27FC236}">
              <a16:creationId xmlns:a16="http://schemas.microsoft.com/office/drawing/2014/main" id="{404B7E1F-451F-9F6F-4A87-E29E74FDCB33}"/>
            </a:ext>
          </a:extLst>
        </cdr:cNvPr>
        <cdr:cNvSpPr txBox="1"/>
      </cdr:nvSpPr>
      <cdr:spPr>
        <a:xfrm xmlns:a="http://schemas.openxmlformats.org/drawingml/2006/main">
          <a:off x="1418713" y="2713526"/>
          <a:ext cx="897833" cy="26677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PT" sz="1100" kern="1200"/>
            <a:t>Fluorescein</a:t>
          </a:r>
        </a:p>
      </cdr:txBody>
    </cdr:sp>
  </cdr:relSizeAnchor>
  <cdr:relSizeAnchor xmlns:cdr="http://schemas.openxmlformats.org/drawingml/2006/chartDrawing">
    <cdr:from>
      <cdr:x>0.61499</cdr:x>
      <cdr:y>0.87392</cdr:y>
    </cdr:from>
    <cdr:to>
      <cdr:x>0.80587</cdr:x>
      <cdr:y>0.95984</cdr:y>
    </cdr:to>
    <cdr:sp macro="" textlink="">
      <cdr:nvSpPr>
        <cdr:cNvPr id="4" name="CaixaDeTexto 1">
          <a:extLst xmlns:a="http://schemas.openxmlformats.org/drawingml/2006/main">
            <a:ext uri="{FF2B5EF4-FFF2-40B4-BE49-F238E27FC236}">
              <a16:creationId xmlns:a16="http://schemas.microsoft.com/office/drawing/2014/main" id="{B88BC3AC-A64F-7288-B326-22E13CDC05F2}"/>
            </a:ext>
          </a:extLst>
        </cdr:cNvPr>
        <cdr:cNvSpPr txBox="1"/>
      </cdr:nvSpPr>
      <cdr:spPr>
        <a:xfrm xmlns:a="http://schemas.openxmlformats.org/drawingml/2006/main">
          <a:off x="2892643" y="2713527"/>
          <a:ext cx="897834" cy="26677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PT" sz="1100" kern="1200"/>
            <a:t>Nile</a:t>
          </a:r>
          <a:r>
            <a:rPr lang="pt-PT" sz="1100" kern="1200" baseline="0"/>
            <a:t> Blue</a:t>
          </a:r>
          <a:endParaRPr lang="pt-PT" sz="1100" kern="1200"/>
        </a:p>
      </cdr:txBody>
    </cdr:sp>
  </cdr:relSizeAnchor>
  <cdr:relSizeAnchor xmlns:cdr="http://schemas.openxmlformats.org/drawingml/2006/chartDrawing">
    <cdr:from>
      <cdr:x>0.44547</cdr:x>
      <cdr:y>0.87392</cdr:y>
    </cdr:from>
    <cdr:to>
      <cdr:x>0.63636</cdr:x>
      <cdr:y>0.95984</cdr:y>
    </cdr:to>
    <cdr:sp macro="" textlink="">
      <cdr:nvSpPr>
        <cdr:cNvPr id="5" name="CaixaDeTexto 1">
          <a:extLst xmlns:a="http://schemas.openxmlformats.org/drawingml/2006/main">
            <a:ext uri="{FF2B5EF4-FFF2-40B4-BE49-F238E27FC236}">
              <a16:creationId xmlns:a16="http://schemas.microsoft.com/office/drawing/2014/main" id="{B88BC3AC-A64F-7288-B326-22E13CDC05F2}"/>
            </a:ext>
          </a:extLst>
        </cdr:cNvPr>
        <cdr:cNvSpPr txBox="1"/>
      </cdr:nvSpPr>
      <cdr:spPr>
        <a:xfrm xmlns:a="http://schemas.openxmlformats.org/drawingml/2006/main">
          <a:off x="2095315" y="2713526"/>
          <a:ext cx="897834" cy="26677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pt-PT" sz="1100" kern="1200"/>
            <a:t>Rhodamine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Q25"/>
  <sheetViews>
    <sheetView topLeftCell="B2" zoomScale="85" workbookViewId="0">
      <selection activeCell="I142" sqref="I142"/>
    </sheetView>
  </sheetViews>
  <sheetFormatPr defaultRowHeight="14.5" x14ac:dyDescent="0.35"/>
  <cols>
    <col min="4" max="4" width="11.1796875" customWidth="1"/>
    <col min="5" max="5" width="12.54296875" customWidth="1"/>
    <col min="6" max="6" width="14.81640625" customWidth="1"/>
    <col min="7" max="7" width="14.7265625" customWidth="1"/>
    <col min="13" max="13" width="12.453125" customWidth="1"/>
    <col min="14" max="14" width="13.1796875" customWidth="1"/>
    <col min="15" max="15" width="12.54296875" customWidth="1"/>
    <col min="16" max="16" width="14.1796875" customWidth="1"/>
  </cols>
  <sheetData>
    <row r="3" spans="4:17" x14ac:dyDescent="0.35">
      <c r="E3" s="13" t="s">
        <v>0</v>
      </c>
      <c r="F3" s="13"/>
      <c r="G3" s="13"/>
      <c r="H3" s="13"/>
      <c r="N3" s="13" t="s">
        <v>1</v>
      </c>
      <c r="O3" s="13"/>
      <c r="P3" s="13"/>
      <c r="Q3" s="13"/>
    </row>
    <row r="4" spans="4:17" x14ac:dyDescent="0.35">
      <c r="E4" s="2" t="s">
        <v>2</v>
      </c>
      <c r="F4" s="4" t="s">
        <v>3</v>
      </c>
      <c r="G4" s="3" t="s">
        <v>4</v>
      </c>
      <c r="H4" s="5" t="s">
        <v>5</v>
      </c>
      <c r="N4" s="2" t="s">
        <v>2</v>
      </c>
      <c r="O4" s="4" t="s">
        <v>3</v>
      </c>
      <c r="P4" s="3" t="s">
        <v>4</v>
      </c>
      <c r="Q4" s="5" t="s">
        <v>5</v>
      </c>
    </row>
    <row r="5" spans="4:17" x14ac:dyDescent="0.35">
      <c r="D5" s="6" t="s">
        <v>6</v>
      </c>
      <c r="E5" s="6">
        <v>405</v>
      </c>
      <c r="F5" s="1">
        <v>488</v>
      </c>
      <c r="G5" s="1">
        <v>561</v>
      </c>
      <c r="H5" s="1">
        <v>640</v>
      </c>
      <c r="M5" s="6" t="s">
        <v>6</v>
      </c>
      <c r="N5" s="6">
        <v>405</v>
      </c>
      <c r="O5" s="1">
        <v>488</v>
      </c>
      <c r="P5" s="1">
        <v>561</v>
      </c>
      <c r="Q5" s="1">
        <v>640</v>
      </c>
    </row>
    <row r="6" spans="4:17" x14ac:dyDescent="0.35">
      <c r="D6" s="1" t="s">
        <v>7</v>
      </c>
      <c r="E6" s="1">
        <v>9.8000000000000004E-2</v>
      </c>
      <c r="F6" s="1">
        <v>0.53600000000000003</v>
      </c>
      <c r="G6" s="1">
        <v>5.6000000000000001E-2</v>
      </c>
      <c r="H6" s="1">
        <v>0.19800000000000001</v>
      </c>
      <c r="M6" s="1" t="s">
        <v>7</v>
      </c>
      <c r="N6" s="1">
        <v>-0.17699999999999999</v>
      </c>
      <c r="O6" s="1">
        <v>0.186</v>
      </c>
      <c r="P6" s="1">
        <v>-0.29399999999999998</v>
      </c>
      <c r="Q6" s="1">
        <v>-0.157</v>
      </c>
    </row>
    <row r="7" spans="4:17" x14ac:dyDescent="0.35">
      <c r="D7" s="1" t="s">
        <v>8</v>
      </c>
      <c r="E7" s="1">
        <v>879</v>
      </c>
      <c r="F7" s="1">
        <v>921</v>
      </c>
      <c r="G7" s="1">
        <v>765</v>
      </c>
      <c r="H7" s="1">
        <v>866</v>
      </c>
      <c r="M7" s="1" t="s">
        <v>8</v>
      </c>
      <c r="N7" s="1">
        <v>1052</v>
      </c>
      <c r="O7" s="1">
        <v>1086</v>
      </c>
      <c r="P7" s="1">
        <v>925</v>
      </c>
      <c r="Q7" s="1">
        <v>1030</v>
      </c>
    </row>
    <row r="8" spans="4:17" x14ac:dyDescent="0.35">
      <c r="D8" s="1" t="s">
        <v>9</v>
      </c>
      <c r="E8" s="1">
        <v>5.6740000000000004</v>
      </c>
      <c r="F8" s="1">
        <v>3.875</v>
      </c>
      <c r="G8" s="1">
        <v>4.3780000000000001</v>
      </c>
      <c r="H8" s="1">
        <v>4.2460000000000004</v>
      </c>
      <c r="M8" s="1" t="s">
        <v>9</v>
      </c>
      <c r="N8" s="1">
        <v>4.7510000000000003</v>
      </c>
      <c r="O8" s="1">
        <v>3.8050000000000002</v>
      </c>
      <c r="P8" s="1">
        <v>4.4729999999999999</v>
      </c>
      <c r="Q8" s="1">
        <v>4.6070000000000002</v>
      </c>
    </row>
    <row r="9" spans="4:17" ht="16.600000000000001" x14ac:dyDescent="0.45">
      <c r="D9" s="1" t="s">
        <v>10</v>
      </c>
      <c r="E9" s="1">
        <f>E8/(SQRT(2*LN(2)))</f>
        <v>4.8190518948342209</v>
      </c>
      <c r="F9" s="1">
        <f t="shared" ref="F9:H9" si="0">F8/(SQRT(2*LN(2)))</f>
        <v>3.2911219761160737</v>
      </c>
      <c r="G9" s="1">
        <f t="shared" si="0"/>
        <v>3.7183308416609475</v>
      </c>
      <c r="H9" s="1">
        <f t="shared" si="0"/>
        <v>3.6062203640229291</v>
      </c>
      <c r="M9" s="1" t="s">
        <v>10</v>
      </c>
      <c r="N9" s="1">
        <f>N8/(SQRT(2*LN(2)))</f>
        <v>4.0351278731683786</v>
      </c>
      <c r="O9" s="1">
        <f t="shared" ref="O9:Q9" si="1">O8/(SQRT(2*LN(2)))</f>
        <v>3.2316694500959127</v>
      </c>
      <c r="P9" s="1">
        <f t="shared" si="1"/>
        <v>3.7990164126883093</v>
      </c>
      <c r="Q9" s="1">
        <f t="shared" si="1"/>
        <v>3.9128255339269038</v>
      </c>
    </row>
    <row r="10" spans="4:17" ht="16.600000000000001" x14ac:dyDescent="0.45">
      <c r="D10" s="1" t="s">
        <v>11</v>
      </c>
      <c r="E10" s="1">
        <f>(PI()*E9^2)/(E5*10^-3)</f>
        <v>180.14327572516527</v>
      </c>
      <c r="F10" s="1">
        <f>(PI()*F9^2)/(F5*10^-3)</f>
        <v>69.729733867442576</v>
      </c>
      <c r="G10" s="1">
        <f>(PI()*G9^2)/(G5*10^-3)</f>
        <v>77.425330734960227</v>
      </c>
      <c r="H10" s="1">
        <f>(PI()*H9^2)/(H5*10^-3)</f>
        <v>63.837286980229557</v>
      </c>
      <c r="M10" s="1" t="s">
        <v>11</v>
      </c>
      <c r="N10" s="1">
        <f>(PI()*N9^2)/(N5*10^-3)</f>
        <v>126.30177488109081</v>
      </c>
      <c r="O10" s="1">
        <f t="shared" ref="O10:Q10" si="2">(PI()*O9^2)/(O5*10^-3)</f>
        <v>67.23322074014105</v>
      </c>
      <c r="P10" s="1">
        <f t="shared" si="2"/>
        <v>80.821954944812873</v>
      </c>
      <c r="Q10" s="1">
        <f t="shared" si="2"/>
        <v>75.153786468628155</v>
      </c>
    </row>
    <row r="11" spans="4:17" x14ac:dyDescent="0.35">
      <c r="D11" s="1" t="s">
        <v>12</v>
      </c>
      <c r="E11" s="1">
        <f>2*E10</f>
        <v>360.28655145033053</v>
      </c>
      <c r="F11" s="1">
        <f t="shared" ref="F11:H11" si="3">2*F10</f>
        <v>139.45946773488515</v>
      </c>
      <c r="G11" s="1">
        <f t="shared" si="3"/>
        <v>154.85066146992045</v>
      </c>
      <c r="H11" s="1">
        <f t="shared" si="3"/>
        <v>127.67457396045911</v>
      </c>
      <c r="M11" s="1" t="s">
        <v>12</v>
      </c>
      <c r="N11" s="1">
        <f>2*N10</f>
        <v>252.60354976218161</v>
      </c>
      <c r="O11" s="1">
        <f t="shared" ref="O11:Q11" si="4">2*O10</f>
        <v>134.4664414802821</v>
      </c>
      <c r="P11" s="1">
        <f t="shared" si="4"/>
        <v>161.64390988962575</v>
      </c>
      <c r="Q11" s="1">
        <f t="shared" si="4"/>
        <v>150.30757293725631</v>
      </c>
    </row>
    <row r="12" spans="4:17" ht="16.600000000000001" x14ac:dyDescent="0.45">
      <c r="D12" s="1" t="s">
        <v>13</v>
      </c>
      <c r="E12" s="1">
        <f>2*E9</f>
        <v>9.6381037896684418</v>
      </c>
      <c r="F12" s="1">
        <f t="shared" ref="F12:H12" si="5">2*F9</f>
        <v>6.5822439522321474</v>
      </c>
      <c r="G12" s="1">
        <f t="shared" si="5"/>
        <v>7.436661683321895</v>
      </c>
      <c r="H12" s="1">
        <f t="shared" si="5"/>
        <v>7.2124407280458582</v>
      </c>
      <c r="M12" s="1" t="s">
        <v>13</v>
      </c>
      <c r="N12" s="1">
        <f>2*N9</f>
        <v>8.0702557463367572</v>
      </c>
      <c r="O12" s="1">
        <f t="shared" ref="O12:Q12" si="6">2*O9</f>
        <v>6.4633389001918253</v>
      </c>
      <c r="P12" s="1">
        <f t="shared" si="6"/>
        <v>7.5980328253766185</v>
      </c>
      <c r="Q12" s="1">
        <f t="shared" si="6"/>
        <v>7.8256510678538076</v>
      </c>
    </row>
    <row r="13" spans="4:17" x14ac:dyDescent="0.35">
      <c r="D13" s="1" t="s">
        <v>14</v>
      </c>
      <c r="E13" s="1">
        <f>(1.33*E5*10^-3)/(PI()*E9)</f>
        <v>3.5579118867072733E-2</v>
      </c>
      <c r="F13" s="1">
        <f t="shared" ref="F13:H13" si="7">(1.33*F5*10^-3)/(PI()*F9)</f>
        <v>6.2773683269112951E-2</v>
      </c>
      <c r="G13" s="1">
        <f t="shared" si="7"/>
        <v>6.3872894987532139E-2</v>
      </c>
      <c r="H13" s="1">
        <f t="shared" si="7"/>
        <v>7.5132783848347193E-2</v>
      </c>
      <c r="M13" s="1" t="s">
        <v>14</v>
      </c>
      <c r="N13" s="1">
        <f>(1.33*N5*10^-3)/(PI()*N9)</f>
        <v>4.2491248253372076E-2</v>
      </c>
      <c r="O13" s="1">
        <f t="shared" ref="O13:Q13" si="8">(1.33*O5*10^-3)/(PI()*O9)</f>
        <v>6.3928521069070335E-2</v>
      </c>
      <c r="P13" s="1">
        <f t="shared" si="8"/>
        <v>6.2516327801344904E-2</v>
      </c>
      <c r="Q13" s="1">
        <f t="shared" si="8"/>
        <v>6.924545261994404E-2</v>
      </c>
    </row>
    <row r="15" spans="4:17" x14ac:dyDescent="0.35">
      <c r="E15" s="13" t="s">
        <v>15</v>
      </c>
      <c r="F15" s="13"/>
      <c r="G15" s="13"/>
      <c r="H15" s="13"/>
      <c r="N15" s="13" t="s">
        <v>16</v>
      </c>
      <c r="O15" s="13"/>
      <c r="P15" s="13"/>
      <c r="Q15" s="13"/>
    </row>
    <row r="16" spans="4:17" x14ac:dyDescent="0.35">
      <c r="E16" s="2" t="s">
        <v>2</v>
      </c>
      <c r="F16" s="4" t="s">
        <v>3</v>
      </c>
      <c r="G16" s="3" t="s">
        <v>4</v>
      </c>
      <c r="H16" s="5" t="s">
        <v>5</v>
      </c>
      <c r="N16" s="2" t="s">
        <v>2</v>
      </c>
      <c r="O16" s="4" t="s">
        <v>3</v>
      </c>
      <c r="P16" s="3" t="s">
        <v>4</v>
      </c>
      <c r="Q16" s="5" t="s">
        <v>5</v>
      </c>
    </row>
    <row r="17" spans="4:17" x14ac:dyDescent="0.35">
      <c r="D17" s="6" t="s">
        <v>6</v>
      </c>
      <c r="E17" s="6">
        <v>405</v>
      </c>
      <c r="F17" s="1">
        <v>488</v>
      </c>
      <c r="G17" s="1">
        <v>561</v>
      </c>
      <c r="H17" s="1">
        <v>640</v>
      </c>
      <c r="M17" s="6" t="s">
        <v>6</v>
      </c>
      <c r="N17" s="6">
        <v>405</v>
      </c>
      <c r="O17" s="1">
        <v>488</v>
      </c>
      <c r="P17" s="1">
        <v>561</v>
      </c>
      <c r="Q17" s="1">
        <v>640</v>
      </c>
    </row>
    <row r="18" spans="4:17" x14ac:dyDescent="0.35">
      <c r="D18" s="1" t="s">
        <v>7</v>
      </c>
      <c r="E18" s="1">
        <v>0.187</v>
      </c>
      <c r="F18" s="1">
        <v>0.55100000000000005</v>
      </c>
      <c r="G18" s="1">
        <v>4.7E-2</v>
      </c>
      <c r="H18" s="1">
        <v>0.2</v>
      </c>
      <c r="M18" s="1" t="s">
        <v>7</v>
      </c>
      <c r="N18" s="1">
        <v>-0.17</v>
      </c>
      <c r="O18" s="1">
        <v>0.186</v>
      </c>
      <c r="P18" s="1">
        <v>-0.312</v>
      </c>
      <c r="Q18" s="1">
        <v>-0.154</v>
      </c>
    </row>
    <row r="19" spans="4:17" x14ac:dyDescent="0.35">
      <c r="D19" s="1" t="s">
        <v>8</v>
      </c>
      <c r="E19" s="1">
        <v>883</v>
      </c>
      <c r="F19" s="1">
        <v>929</v>
      </c>
      <c r="G19" s="1">
        <v>768</v>
      </c>
      <c r="H19" s="1">
        <v>865</v>
      </c>
      <c r="M19" s="1" t="s">
        <v>8</v>
      </c>
      <c r="N19" s="1">
        <v>1047</v>
      </c>
      <c r="O19" s="1">
        <v>1101</v>
      </c>
      <c r="P19" s="1">
        <v>944</v>
      </c>
      <c r="Q19" s="1">
        <v>1027</v>
      </c>
    </row>
    <row r="20" spans="4:17" x14ac:dyDescent="0.35">
      <c r="D20" s="1" t="s">
        <v>9</v>
      </c>
      <c r="E20" s="1">
        <v>3.7839999999999998</v>
      </c>
      <c r="F20" s="1">
        <v>4.2460000000000004</v>
      </c>
      <c r="G20" s="1">
        <v>4.1479999999999997</v>
      </c>
      <c r="H20" s="1">
        <v>4.2759999999999998</v>
      </c>
      <c r="M20" s="1" t="s">
        <v>9</v>
      </c>
      <c r="N20" s="1">
        <v>3.65</v>
      </c>
      <c r="O20" s="1">
        <v>4.1100000000000003</v>
      </c>
      <c r="P20" s="1">
        <v>4.6159999999999997</v>
      </c>
      <c r="Q20" s="1">
        <v>4.3520000000000003</v>
      </c>
    </row>
    <row r="21" spans="4:17" ht="16.600000000000001" x14ac:dyDescent="0.45">
      <c r="D21" s="1" t="s">
        <v>10</v>
      </c>
      <c r="E21" s="1">
        <f>E20/(SQRT(2*LN(2)))</f>
        <v>3.2138336922898638</v>
      </c>
      <c r="F21" s="1">
        <f t="shared" ref="F21:H21" si="9">F20/(SQRT(2*LN(2)))</f>
        <v>3.6062203640229291</v>
      </c>
      <c r="G21" s="1">
        <f t="shared" si="9"/>
        <v>3.5229868275947029</v>
      </c>
      <c r="H21" s="1">
        <f t="shared" si="9"/>
        <v>3.6317000180315695</v>
      </c>
      <c r="M21" s="1" t="s">
        <v>10</v>
      </c>
      <c r="N21" s="1">
        <f>N20/(SQRT(2*LN(2)))</f>
        <v>3.1000245710512697</v>
      </c>
      <c r="O21" s="1">
        <f t="shared" ref="O21:Q21" si="10">O20/(SQRT(2*LN(2)))</f>
        <v>3.4907125991837584</v>
      </c>
      <c r="P21" s="1">
        <f t="shared" si="10"/>
        <v>3.9204694301294958</v>
      </c>
      <c r="Q21" s="1">
        <f t="shared" si="10"/>
        <v>3.6962484748534594</v>
      </c>
    </row>
    <row r="22" spans="4:17" ht="16.600000000000001" x14ac:dyDescent="0.45">
      <c r="D22" s="1" t="s">
        <v>11</v>
      </c>
      <c r="E22" s="1">
        <f>(PI()*E21^2)/(E17*10^-3)</f>
        <v>80.120130541894795</v>
      </c>
      <c r="F22" s="1">
        <f t="shared" ref="F22:H22" si="11">(PI()*F21^2)/(F17*10^-3)</f>
        <v>83.721032105219095</v>
      </c>
      <c r="G22" s="1">
        <f t="shared" si="11"/>
        <v>69.503880119166723</v>
      </c>
      <c r="H22" s="1">
        <f t="shared" si="11"/>
        <v>64.742555100432313</v>
      </c>
      <c r="M22" s="1" t="s">
        <v>11</v>
      </c>
      <c r="N22" s="1">
        <f>(PI()*N21^2)/(N17*10^-3)</f>
        <v>74.546133320361463</v>
      </c>
      <c r="O22" s="1">
        <f t="shared" ref="O22:Q22" si="12">(PI()*O21^2)/(O17*10^-3)</f>
        <v>78.443730278441748</v>
      </c>
      <c r="P22" s="1">
        <f t="shared" si="12"/>
        <v>86.072249820086157</v>
      </c>
      <c r="Q22" s="1">
        <f t="shared" si="12"/>
        <v>67.064426546588635</v>
      </c>
    </row>
    <row r="23" spans="4:17" x14ac:dyDescent="0.35">
      <c r="D23" s="1" t="s">
        <v>12</v>
      </c>
      <c r="E23" s="1">
        <f>2*E22</f>
        <v>160.24026108378959</v>
      </c>
      <c r="F23" s="1">
        <f t="shared" ref="F23:H23" si="13">2*F22</f>
        <v>167.44206421043819</v>
      </c>
      <c r="G23" s="1">
        <f t="shared" si="13"/>
        <v>139.00776023833345</v>
      </c>
      <c r="H23" s="1">
        <f t="shared" si="13"/>
        <v>129.48511020086463</v>
      </c>
      <c r="M23" s="1" t="s">
        <v>12</v>
      </c>
      <c r="N23" s="1">
        <f>2*N22</f>
        <v>149.09226664072293</v>
      </c>
      <c r="O23" s="1">
        <f t="shared" ref="O23:Q23" si="14">2*O22</f>
        <v>156.8874605568835</v>
      </c>
      <c r="P23" s="1">
        <f t="shared" si="14"/>
        <v>172.14449964017231</v>
      </c>
      <c r="Q23" s="1">
        <f t="shared" si="14"/>
        <v>134.12885309317727</v>
      </c>
    </row>
    <row r="24" spans="4:17" ht="16.600000000000001" x14ac:dyDescent="0.45">
      <c r="D24" s="1" t="s">
        <v>13</v>
      </c>
      <c r="E24" s="1">
        <f>2*E21</f>
        <v>6.4276673845797276</v>
      </c>
      <c r="F24" s="1">
        <f t="shared" ref="F24:H24" si="15">2*F21</f>
        <v>7.2124407280458582</v>
      </c>
      <c r="G24" s="1">
        <f t="shared" si="15"/>
        <v>7.0459736551894059</v>
      </c>
      <c r="H24" s="1">
        <f t="shared" si="15"/>
        <v>7.263400036063139</v>
      </c>
      <c r="M24" s="1" t="s">
        <v>13</v>
      </c>
      <c r="N24" s="1">
        <f>2*N21</f>
        <v>6.2000491421025394</v>
      </c>
      <c r="O24" s="1">
        <f t="shared" ref="O24:Q24" si="16">2*O21</f>
        <v>6.9814251983675168</v>
      </c>
      <c r="P24" s="1">
        <f t="shared" si="16"/>
        <v>7.8409388602589916</v>
      </c>
      <c r="Q24" s="1">
        <f t="shared" si="16"/>
        <v>7.3924969497069188</v>
      </c>
    </row>
    <row r="25" spans="4:17" x14ac:dyDescent="0.35">
      <c r="D25" s="1" t="s">
        <v>14</v>
      </c>
      <c r="E25" s="1">
        <f>(1.33*E17*10^-3)/(PI()*E21)</f>
        <v>5.3349873269495439E-2</v>
      </c>
      <c r="F25" s="1">
        <f t="shared" ref="F25:H25" si="17">(1.33*F17*10^-3)/(PI()*F21)</f>
        <v>5.7288747684364733E-2</v>
      </c>
      <c r="G25" s="1">
        <f t="shared" si="17"/>
        <v>6.7414545384622895E-2</v>
      </c>
      <c r="H25" s="1">
        <f t="shared" si="17"/>
        <v>7.4605659546324171E-2</v>
      </c>
      <c r="M25" s="1" t="s">
        <v>14</v>
      </c>
      <c r="N25" s="1">
        <f>(1.33*N17*10^-3)/(PI()*N21)</f>
        <v>5.5308471356649506E-2</v>
      </c>
      <c r="O25" s="1">
        <f t="shared" ref="O25:Q25" si="18">(1.33*O17*10^-3)/(PI()*O21)</f>
        <v>5.9184433739127171E-2</v>
      </c>
      <c r="P25" s="1">
        <f t="shared" si="18"/>
        <v>6.0579621805765982E-2</v>
      </c>
      <c r="Q25" s="1">
        <f t="shared" si="18"/>
        <v>7.3302803359393875E-2</v>
      </c>
    </row>
  </sheetData>
  <mergeCells count="4">
    <mergeCell ref="E3:H3"/>
    <mergeCell ref="N3:Q3"/>
    <mergeCell ref="E15:H15"/>
    <mergeCell ref="N15:Q1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3:Q25"/>
  <sheetViews>
    <sheetView zoomScale="69" workbookViewId="0">
      <selection activeCell="L17" sqref="L17"/>
    </sheetView>
  </sheetViews>
  <sheetFormatPr defaultRowHeight="14.5" x14ac:dyDescent="0.35"/>
  <cols>
    <col min="4" max="4" width="11.1796875" customWidth="1"/>
    <col min="5" max="5" width="12.54296875" customWidth="1"/>
    <col min="6" max="6" width="14.81640625" customWidth="1"/>
    <col min="7" max="7" width="14.7265625" customWidth="1"/>
    <col min="13" max="13" width="12.453125" customWidth="1"/>
    <col min="14" max="14" width="13.1796875" customWidth="1"/>
    <col min="15" max="15" width="12.54296875" customWidth="1"/>
    <col min="16" max="16" width="14.1796875" customWidth="1"/>
  </cols>
  <sheetData>
    <row r="3" spans="4:17" x14ac:dyDescent="0.35">
      <c r="E3" s="13" t="s">
        <v>0</v>
      </c>
      <c r="F3" s="13"/>
      <c r="G3" s="13"/>
      <c r="H3" s="13"/>
      <c r="N3" s="13" t="s">
        <v>1</v>
      </c>
      <c r="O3" s="13"/>
      <c r="P3" s="13"/>
      <c r="Q3" s="13"/>
    </row>
    <row r="4" spans="4:17" x14ac:dyDescent="0.35">
      <c r="E4" s="2" t="s">
        <v>2</v>
      </c>
      <c r="F4" s="4" t="s">
        <v>3</v>
      </c>
      <c r="G4" s="3" t="s">
        <v>4</v>
      </c>
      <c r="H4" s="5" t="s">
        <v>5</v>
      </c>
      <c r="N4" s="2" t="s">
        <v>2</v>
      </c>
      <c r="O4" s="4" t="s">
        <v>3</v>
      </c>
      <c r="P4" s="3" t="s">
        <v>4</v>
      </c>
      <c r="Q4" s="5" t="s">
        <v>5</v>
      </c>
    </row>
    <row r="5" spans="4:17" x14ac:dyDescent="0.35">
      <c r="D5" s="6" t="s">
        <v>6</v>
      </c>
      <c r="E5" s="6">
        <v>405</v>
      </c>
      <c r="F5" s="1">
        <v>488</v>
      </c>
      <c r="G5" s="1">
        <v>561</v>
      </c>
      <c r="H5" s="1">
        <v>640</v>
      </c>
      <c r="M5" s="6" t="s">
        <v>6</v>
      </c>
      <c r="N5" s="6">
        <v>405</v>
      </c>
      <c r="O5" s="1">
        <v>488</v>
      </c>
      <c r="P5" s="1">
        <v>561</v>
      </c>
      <c r="Q5" s="1">
        <v>640</v>
      </c>
    </row>
    <row r="6" spans="4:17" x14ac:dyDescent="0.35">
      <c r="D6" s="1" t="s">
        <v>7</v>
      </c>
      <c r="E6" s="1">
        <v>0.26500000000000001</v>
      </c>
      <c r="F6" s="1">
        <v>0.626</v>
      </c>
      <c r="G6" s="1">
        <v>0.158</v>
      </c>
      <c r="H6" s="1">
        <v>0.316</v>
      </c>
      <c r="M6" s="1" t="s">
        <v>7</v>
      </c>
      <c r="N6" s="1">
        <v>-0.14000000000000001</v>
      </c>
      <c r="O6" s="1">
        <v>0.23300000000000001</v>
      </c>
      <c r="P6" s="1">
        <v>-0.23</v>
      </c>
      <c r="Q6" s="1">
        <v>-7.0999999999999994E-2</v>
      </c>
    </row>
    <row r="7" spans="4:17" x14ac:dyDescent="0.35">
      <c r="D7" s="1" t="s">
        <v>8</v>
      </c>
      <c r="E7" s="1">
        <v>945</v>
      </c>
      <c r="F7" s="1">
        <v>958</v>
      </c>
      <c r="G7" s="1">
        <v>788</v>
      </c>
      <c r="H7" s="1">
        <v>884</v>
      </c>
      <c r="M7" s="1" t="s">
        <v>8</v>
      </c>
      <c r="N7" s="1">
        <v>1096</v>
      </c>
      <c r="O7" s="1">
        <v>1125</v>
      </c>
      <c r="P7" s="1">
        <v>960</v>
      </c>
      <c r="Q7" s="1">
        <v>1053</v>
      </c>
    </row>
    <row r="8" spans="4:17" x14ac:dyDescent="0.35">
      <c r="D8" s="1" t="s">
        <v>9</v>
      </c>
      <c r="E8" s="1">
        <v>5.4409999999999998</v>
      </c>
      <c r="F8" s="1">
        <v>4.0060000000000002</v>
      </c>
      <c r="G8" s="1">
        <v>4.2539999999999996</v>
      </c>
      <c r="H8" s="1">
        <v>4.1520000000000001</v>
      </c>
      <c r="M8" s="1" t="s">
        <v>9</v>
      </c>
      <c r="N8" s="1">
        <v>5.3579999999999997</v>
      </c>
      <c r="O8" s="1">
        <v>3.8719999999999999</v>
      </c>
      <c r="P8" s="1">
        <v>4.45</v>
      </c>
      <c r="Q8" s="1">
        <v>4.8220000000000001</v>
      </c>
    </row>
    <row r="9" spans="4:17" ht="16.600000000000001" x14ac:dyDescent="0.45">
      <c r="D9" s="1" t="s">
        <v>10</v>
      </c>
      <c r="E9" s="1">
        <f>E8/(SQRT(2*LN(2)))</f>
        <v>4.6211599153671115</v>
      </c>
      <c r="F9" s="1">
        <f t="shared" ref="F9:H9" si="0">F8/(SQRT(2*LN(2)))</f>
        <v>3.4023831319538047</v>
      </c>
      <c r="G9" s="1">
        <f t="shared" si="0"/>
        <v>3.6130149384252328</v>
      </c>
      <c r="H9" s="1">
        <f t="shared" si="0"/>
        <v>3.5263841147958552</v>
      </c>
      <c r="M9" s="1" t="s">
        <v>10</v>
      </c>
      <c r="N9" s="1">
        <f>N8/(SQRT(2*LN(2)))</f>
        <v>4.5506662059432061</v>
      </c>
      <c r="O9" s="1">
        <f t="shared" ref="O9:Q9" si="1">O8/(SQRT(2*LN(2)))</f>
        <v>3.2885740107152097</v>
      </c>
      <c r="P9" s="1">
        <f t="shared" si="1"/>
        <v>3.7794820112816851</v>
      </c>
      <c r="Q9" s="1">
        <f t="shared" si="1"/>
        <v>4.095429720988828</v>
      </c>
    </row>
    <row r="10" spans="4:17" ht="16.600000000000001" x14ac:dyDescent="0.45">
      <c r="D10" s="1" t="s">
        <v>11</v>
      </c>
      <c r="E10" s="1">
        <f>(PI()*E9^2)/(E5*10^-3)</f>
        <v>165.65206136281537</v>
      </c>
      <c r="F10" s="1">
        <f>(PI()*F9^2)/(F5*10^-3)</f>
        <v>74.524056066606477</v>
      </c>
      <c r="G10" s="1">
        <f>(PI()*G9^2)/(G5*10^-3)</f>
        <v>73.101539950390432</v>
      </c>
      <c r="H10" s="1">
        <f>(PI()*H9^2)/(H5*10^-3)</f>
        <v>61.042053008135731</v>
      </c>
      <c r="M10" s="1" t="s">
        <v>11</v>
      </c>
      <c r="N10" s="1">
        <f>(PI()*N9^2)/(N5*10^-3)</f>
        <v>160.63671389955351</v>
      </c>
      <c r="O10" s="1">
        <f t="shared" ref="O10:Q10" si="2">(PI()*O9^2)/(O5*10^-3)</f>
        <v>69.621807041565305</v>
      </c>
      <c r="P10" s="1">
        <f t="shared" si="2"/>
        <v>79.992924873915342</v>
      </c>
      <c r="Q10" s="1">
        <f t="shared" si="2"/>
        <v>82.332035774969597</v>
      </c>
    </row>
    <row r="11" spans="4:17" x14ac:dyDescent="0.35">
      <c r="D11" s="1" t="s">
        <v>12</v>
      </c>
      <c r="E11" s="1">
        <f>2*E10</f>
        <v>331.30412272563075</v>
      </c>
      <c r="F11" s="1">
        <f t="shared" ref="F11:H11" si="3">2*F10</f>
        <v>149.04811213321295</v>
      </c>
      <c r="G11" s="1">
        <f t="shared" si="3"/>
        <v>146.20307990078086</v>
      </c>
      <c r="H11" s="1">
        <f t="shared" si="3"/>
        <v>122.08410601627146</v>
      </c>
      <c r="M11" s="1" t="s">
        <v>12</v>
      </c>
      <c r="N11" s="1">
        <f>2*N10</f>
        <v>321.27342779910703</v>
      </c>
      <c r="O11" s="1">
        <f t="shared" ref="O11:Q11" si="4">2*O10</f>
        <v>139.24361408313061</v>
      </c>
      <c r="P11" s="1">
        <f t="shared" si="4"/>
        <v>159.98584974783068</v>
      </c>
      <c r="Q11" s="1">
        <f t="shared" si="4"/>
        <v>164.66407154993919</v>
      </c>
    </row>
    <row r="12" spans="4:17" ht="16.600000000000001" x14ac:dyDescent="0.45">
      <c r="D12" s="1" t="s">
        <v>13</v>
      </c>
      <c r="E12" s="1">
        <f>2*E9</f>
        <v>9.2423198307342229</v>
      </c>
      <c r="F12" s="1">
        <f t="shared" ref="F12:H12" si="5">2*F9</f>
        <v>6.8047662639076094</v>
      </c>
      <c r="G12" s="1">
        <f t="shared" si="5"/>
        <v>7.2260298768504656</v>
      </c>
      <c r="H12" s="1">
        <f t="shared" si="5"/>
        <v>7.0527682295917105</v>
      </c>
      <c r="M12" s="1" t="s">
        <v>13</v>
      </c>
      <c r="N12" s="1">
        <f>2*N9</f>
        <v>9.1013324118864123</v>
      </c>
      <c r="O12" s="1">
        <f t="shared" ref="O12:Q12" si="6">2*O9</f>
        <v>6.5771480214304194</v>
      </c>
      <c r="P12" s="1">
        <f t="shared" si="6"/>
        <v>7.5589640225633703</v>
      </c>
      <c r="Q12" s="1">
        <f t="shared" si="6"/>
        <v>8.1908594419776559</v>
      </c>
    </row>
    <row r="13" spans="4:17" x14ac:dyDescent="0.35">
      <c r="D13" s="1" t="s">
        <v>14</v>
      </c>
      <c r="E13" s="1">
        <f>(1.33*E5*10^-3)/(PI()*E9)</f>
        <v>3.7102723847044793E-2</v>
      </c>
      <c r="F13" s="1">
        <f t="shared" ref="F13:H13" si="7">(1.33*F5*10^-3)/(PI()*F9)</f>
        <v>6.0720924280532357E-2</v>
      </c>
      <c r="G13" s="1">
        <f t="shared" si="7"/>
        <v>6.57347283158006E-2</v>
      </c>
      <c r="H13" s="1">
        <f t="shared" si="7"/>
        <v>7.6833766912351192E-2</v>
      </c>
      <c r="M13" s="1" t="s">
        <v>14</v>
      </c>
      <c r="N13" s="1">
        <f>(1.33*N5*10^-3)/(PI()*N9)</f>
        <v>3.767747675471645E-2</v>
      </c>
      <c r="O13" s="1">
        <f t="shared" ref="O13:Q13" si="8">(1.33*O5*10^-3)/(PI()*O9)</f>
        <v>6.2822319903877238E-2</v>
      </c>
      <c r="P13" s="1">
        <f t="shared" si="8"/>
        <v>6.2839445900093424E-2</v>
      </c>
      <c r="Q13" s="1">
        <f t="shared" si="8"/>
        <v>6.6157984284546278E-2</v>
      </c>
    </row>
    <row r="15" spans="4:17" x14ac:dyDescent="0.35">
      <c r="E15" s="13" t="s">
        <v>15</v>
      </c>
      <c r="F15" s="13"/>
      <c r="G15" s="13"/>
      <c r="H15" s="13"/>
      <c r="N15" s="13" t="s">
        <v>16</v>
      </c>
      <c r="O15" s="13"/>
      <c r="P15" s="13"/>
      <c r="Q15" s="13"/>
    </row>
    <row r="16" spans="4:17" x14ac:dyDescent="0.35">
      <c r="E16" s="2" t="s">
        <v>2</v>
      </c>
      <c r="F16" s="4" t="s">
        <v>3</v>
      </c>
      <c r="G16" s="3" t="s">
        <v>4</v>
      </c>
      <c r="H16" s="5" t="s">
        <v>5</v>
      </c>
      <c r="N16" s="2" t="s">
        <v>2</v>
      </c>
      <c r="O16" s="4" t="s">
        <v>3</v>
      </c>
      <c r="P16" s="3" t="s">
        <v>4</v>
      </c>
      <c r="Q16" s="5" t="s">
        <v>5</v>
      </c>
    </row>
    <row r="17" spans="4:17" x14ac:dyDescent="0.35">
      <c r="D17" s="6" t="s">
        <v>6</v>
      </c>
      <c r="E17" s="6">
        <v>405</v>
      </c>
      <c r="F17" s="1">
        <v>488</v>
      </c>
      <c r="G17" s="1">
        <v>561</v>
      </c>
      <c r="H17" s="1">
        <v>640</v>
      </c>
      <c r="M17" s="6" t="s">
        <v>6</v>
      </c>
      <c r="N17" s="6">
        <v>405</v>
      </c>
      <c r="O17" s="1">
        <v>488</v>
      </c>
      <c r="P17" s="1">
        <v>561</v>
      </c>
      <c r="Q17" s="1">
        <v>640</v>
      </c>
    </row>
    <row r="18" spans="4:17" x14ac:dyDescent="0.35">
      <c r="D18" s="1" t="s">
        <v>7</v>
      </c>
      <c r="E18" s="1">
        <v>0.27400000000000002</v>
      </c>
      <c r="F18" s="1">
        <v>0.627</v>
      </c>
      <c r="G18" s="1">
        <v>9.6000000000000002E-2</v>
      </c>
      <c r="H18" s="1">
        <v>0.29899999999999999</v>
      </c>
      <c r="M18" s="1" t="s">
        <v>7</v>
      </c>
      <c r="N18" s="1">
        <v>-0.13200000000000001</v>
      </c>
      <c r="O18" s="1">
        <v>0.22900000000000001</v>
      </c>
      <c r="P18" s="1">
        <v>-0.252</v>
      </c>
      <c r="Q18" s="1">
        <v>-8.4000000000000005E-2</v>
      </c>
    </row>
    <row r="19" spans="4:17" x14ac:dyDescent="0.35">
      <c r="D19" s="1" t="s">
        <v>8</v>
      </c>
      <c r="E19" s="1">
        <v>927</v>
      </c>
      <c r="F19" s="1">
        <v>971</v>
      </c>
      <c r="G19" s="1">
        <v>779</v>
      </c>
      <c r="H19" s="1">
        <v>887</v>
      </c>
      <c r="M19" s="1" t="s">
        <v>8</v>
      </c>
      <c r="N19" s="1">
        <v>1101</v>
      </c>
      <c r="O19" s="1">
        <v>1140</v>
      </c>
      <c r="P19" s="1">
        <v>980</v>
      </c>
      <c r="Q19" s="1">
        <v>1055</v>
      </c>
    </row>
    <row r="20" spans="4:17" x14ac:dyDescent="0.35">
      <c r="D20" s="1" t="s">
        <v>9</v>
      </c>
      <c r="E20" s="1">
        <v>3.7080000000000002</v>
      </c>
      <c r="F20" s="1">
        <v>4.3470000000000004</v>
      </c>
      <c r="G20" s="1">
        <v>4.274</v>
      </c>
      <c r="H20" s="1">
        <v>4.2050000000000001</v>
      </c>
      <c r="M20" s="1" t="s">
        <v>9</v>
      </c>
      <c r="N20" s="1">
        <v>3.8380000000000001</v>
      </c>
      <c r="O20" s="1">
        <v>4.0090000000000003</v>
      </c>
      <c r="P20" s="1">
        <v>4.6630000000000003</v>
      </c>
      <c r="Q20" s="1">
        <v>4.4560000000000004</v>
      </c>
    </row>
    <row r="21" spans="4:17" ht="16.600000000000001" x14ac:dyDescent="0.45">
      <c r="D21" s="1" t="s">
        <v>10</v>
      </c>
      <c r="E21" s="1">
        <f>E20/(SQRT(2*LN(2)))</f>
        <v>3.1492852354679748</v>
      </c>
      <c r="F21" s="1">
        <f t="shared" ref="F21:H21" si="9">F20/(SQRT(2*LN(2)))</f>
        <v>3.6920018658520193</v>
      </c>
      <c r="G21" s="1">
        <f t="shared" si="9"/>
        <v>3.6300013744309934</v>
      </c>
      <c r="H21" s="1">
        <f t="shared" si="9"/>
        <v>3.5713981702111202</v>
      </c>
      <c r="M21" s="1" t="s">
        <v>10</v>
      </c>
      <c r="N21" s="1">
        <f>N20/(SQRT(2*LN(2)))</f>
        <v>3.259697069505417</v>
      </c>
      <c r="O21" s="1">
        <f t="shared" ref="O21:Q21" si="10">O20/(SQRT(2*LN(2)))</f>
        <v>3.4049310973546687</v>
      </c>
      <c r="P21" s="1">
        <f t="shared" si="10"/>
        <v>3.9603875547430332</v>
      </c>
      <c r="Q21" s="1">
        <f t="shared" si="10"/>
        <v>3.7845779420834131</v>
      </c>
    </row>
    <row r="22" spans="4:17" ht="16.600000000000001" x14ac:dyDescent="0.45">
      <c r="D22" s="1" t="s">
        <v>11</v>
      </c>
      <c r="E22" s="1">
        <f>(PI()*E21^2)/(E17*10^-3)</f>
        <v>76.93409399143151</v>
      </c>
      <c r="F22" s="1">
        <f t="shared" ref="F22:H22" si="11">(PI()*F21^2)/(F17*10^-3)</f>
        <v>87.751363704164632</v>
      </c>
      <c r="G22" s="1">
        <f t="shared" si="11"/>
        <v>73.79052332453486</v>
      </c>
      <c r="H22" s="1">
        <f t="shared" si="11"/>
        <v>62.610394794368737</v>
      </c>
      <c r="M22" s="1" t="s">
        <v>11</v>
      </c>
      <c r="N22" s="1">
        <f>(PI()*N21^2)/(N17*10^-3)</f>
        <v>82.423173808628604</v>
      </c>
      <c r="O22" s="1">
        <f t="shared" ref="O22:Q22" si="12">(PI()*O21^2)/(O17*10^-3)</f>
        <v>74.635716517026808</v>
      </c>
      <c r="P22" s="1">
        <f t="shared" si="12"/>
        <v>87.83394427510639</v>
      </c>
      <c r="Q22" s="1">
        <f t="shared" si="12"/>
        <v>70.30801008208725</v>
      </c>
    </row>
    <row r="23" spans="4:17" x14ac:dyDescent="0.35">
      <c r="D23" s="1" t="s">
        <v>12</v>
      </c>
      <c r="E23" s="1">
        <f>2*E22</f>
        <v>153.86818798286302</v>
      </c>
      <c r="F23" s="1">
        <f t="shared" ref="F23:H23" si="13">2*F22</f>
        <v>175.50272740832926</v>
      </c>
      <c r="G23" s="1">
        <f t="shared" si="13"/>
        <v>147.58104664906972</v>
      </c>
      <c r="H23" s="1">
        <f t="shared" si="13"/>
        <v>125.22078958873747</v>
      </c>
      <c r="M23" s="1" t="s">
        <v>12</v>
      </c>
      <c r="N23" s="1">
        <f>2*N22</f>
        <v>164.84634761725721</v>
      </c>
      <c r="O23" s="1">
        <f t="shared" ref="O23:Q23" si="14">2*O22</f>
        <v>149.27143303405362</v>
      </c>
      <c r="P23" s="1">
        <f t="shared" si="14"/>
        <v>175.66788855021278</v>
      </c>
      <c r="Q23" s="1">
        <f t="shared" si="14"/>
        <v>140.6160201641745</v>
      </c>
    </row>
    <row r="24" spans="4:17" ht="16.600000000000001" x14ac:dyDescent="0.45">
      <c r="D24" s="1" t="s">
        <v>13</v>
      </c>
      <c r="E24" s="1">
        <f>2*E21</f>
        <v>6.2985704709359496</v>
      </c>
      <c r="F24" s="1">
        <f t="shared" ref="F24:H24" si="15">2*F21</f>
        <v>7.3840037317040386</v>
      </c>
      <c r="G24" s="1">
        <f t="shared" si="15"/>
        <v>7.2600027488619867</v>
      </c>
      <c r="H24" s="1">
        <f t="shared" si="15"/>
        <v>7.1427963404222403</v>
      </c>
      <c r="M24" s="1" t="s">
        <v>13</v>
      </c>
      <c r="N24" s="1">
        <f>2*N21</f>
        <v>6.5193941390108341</v>
      </c>
      <c r="O24" s="1">
        <f t="shared" ref="O24:Q24" si="16">2*O21</f>
        <v>6.8098621947093374</v>
      </c>
      <c r="P24" s="1">
        <f t="shared" si="16"/>
        <v>7.9207751094860663</v>
      </c>
      <c r="Q24" s="1">
        <f t="shared" si="16"/>
        <v>7.5691558841668263</v>
      </c>
    </row>
    <row r="25" spans="4:17" x14ac:dyDescent="0.35">
      <c r="D25" s="1" t="s">
        <v>14</v>
      </c>
      <c r="E25" s="1">
        <f>(1.33*E17*10^-3)/(PI()*E21)</f>
        <v>5.4443344242656608E-2</v>
      </c>
      <c r="F25" s="1">
        <f t="shared" ref="F25:H25" si="17">(1.33*F17*10^-3)/(PI()*F21)</f>
        <v>5.5957677172259634E-2</v>
      </c>
      <c r="G25" s="1">
        <f t="shared" si="17"/>
        <v>6.5427125469212866E-2</v>
      </c>
      <c r="H25" s="1">
        <f t="shared" si="17"/>
        <v>7.586535082522762E-2</v>
      </c>
      <c r="M25" s="1" t="s">
        <v>14</v>
      </c>
      <c r="N25" s="1">
        <f>(1.33*N17*10^-3)/(PI()*N21)</f>
        <v>5.2599249726881375E-2</v>
      </c>
      <c r="O25" s="1">
        <f t="shared" ref="O25:Q25" si="18">(1.33*O17*10^-3)/(PI()*O21)</f>
        <v>6.0675485823849504E-2</v>
      </c>
      <c r="P25" s="1">
        <f t="shared" si="18"/>
        <v>5.99690187122916E-2</v>
      </c>
      <c r="Q25" s="1">
        <f t="shared" si="18"/>
        <v>7.1591965938079483E-2</v>
      </c>
    </row>
  </sheetData>
  <mergeCells count="4">
    <mergeCell ref="E3:H3"/>
    <mergeCell ref="E15:H15"/>
    <mergeCell ref="N3:Q3"/>
    <mergeCell ref="N15:Q15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3:Q25"/>
  <sheetViews>
    <sheetView topLeftCell="A27" zoomScale="82" workbookViewId="0">
      <selection activeCell="J14" sqref="J14"/>
    </sheetView>
  </sheetViews>
  <sheetFormatPr defaultRowHeight="14.5" x14ac:dyDescent="0.35"/>
  <cols>
    <col min="4" max="4" width="11.1796875" customWidth="1"/>
    <col min="5" max="5" width="12.54296875" customWidth="1"/>
    <col min="6" max="6" width="14.81640625" customWidth="1"/>
    <col min="7" max="7" width="14.7265625" customWidth="1"/>
    <col min="13" max="13" width="12.453125" customWidth="1"/>
    <col min="14" max="14" width="13.1796875" customWidth="1"/>
    <col min="15" max="15" width="12.54296875" customWidth="1"/>
    <col min="16" max="16" width="14.1796875" customWidth="1"/>
  </cols>
  <sheetData>
    <row r="3" spans="4:17" x14ac:dyDescent="0.35">
      <c r="E3" s="13" t="s">
        <v>0</v>
      </c>
      <c r="F3" s="13"/>
      <c r="G3" s="13"/>
      <c r="H3" s="13"/>
      <c r="N3" s="13" t="s">
        <v>1</v>
      </c>
      <c r="O3" s="13"/>
      <c r="P3" s="13"/>
      <c r="Q3" s="13"/>
    </row>
    <row r="4" spans="4:17" x14ac:dyDescent="0.35">
      <c r="E4" s="2" t="s">
        <v>2</v>
      </c>
      <c r="F4" s="4" t="s">
        <v>3</v>
      </c>
      <c r="G4" s="3" t="s">
        <v>4</v>
      </c>
      <c r="H4" s="5" t="s">
        <v>5</v>
      </c>
      <c r="N4" s="2" t="s">
        <v>2</v>
      </c>
      <c r="O4" s="4" t="s">
        <v>3</v>
      </c>
      <c r="P4" s="3" t="s">
        <v>4</v>
      </c>
      <c r="Q4" s="5" t="s">
        <v>5</v>
      </c>
    </row>
    <row r="5" spans="4:17" x14ac:dyDescent="0.35">
      <c r="D5" s="6" t="s">
        <v>6</v>
      </c>
      <c r="E5" s="6">
        <v>405</v>
      </c>
      <c r="F5" s="1">
        <v>488</v>
      </c>
      <c r="G5" s="1">
        <v>561</v>
      </c>
      <c r="H5" s="1">
        <v>640</v>
      </c>
      <c r="M5" s="6" t="s">
        <v>6</v>
      </c>
      <c r="N5" s="6">
        <v>405</v>
      </c>
      <c r="O5" s="1">
        <v>488</v>
      </c>
      <c r="P5" s="1">
        <v>561</v>
      </c>
      <c r="Q5" s="1">
        <v>640</v>
      </c>
    </row>
    <row r="6" spans="4:17" x14ac:dyDescent="0.35">
      <c r="D6" s="1" t="s">
        <v>7</v>
      </c>
      <c r="E6" s="1">
        <v>0.36099999999999999</v>
      </c>
      <c r="F6" s="1">
        <v>0.65400000000000003</v>
      </c>
      <c r="G6" s="1">
        <v>0.192</v>
      </c>
      <c r="H6" s="1">
        <v>0.34300000000000003</v>
      </c>
      <c r="M6" s="1" t="s">
        <v>7</v>
      </c>
      <c r="N6" s="1">
        <v>-0.14199999999999999</v>
      </c>
      <c r="O6" s="1">
        <v>0.23699999999999999</v>
      </c>
      <c r="P6" s="1">
        <v>-0.27100000000000002</v>
      </c>
      <c r="Q6" s="1">
        <v>-6.3E-2</v>
      </c>
    </row>
    <row r="7" spans="4:17" x14ac:dyDescent="0.35">
      <c r="D7" s="1" t="s">
        <v>8</v>
      </c>
      <c r="E7" s="1">
        <v>938</v>
      </c>
      <c r="F7" s="1">
        <v>915</v>
      </c>
      <c r="G7" s="1">
        <v>761</v>
      </c>
      <c r="H7" s="1">
        <v>861</v>
      </c>
      <c r="M7" s="1" t="s">
        <v>8</v>
      </c>
      <c r="N7" s="1">
        <v>1050</v>
      </c>
      <c r="O7" s="1">
        <v>1093</v>
      </c>
      <c r="P7" s="1">
        <v>927</v>
      </c>
      <c r="Q7" s="1">
        <v>1033</v>
      </c>
    </row>
    <row r="8" spans="4:17" x14ac:dyDescent="0.35">
      <c r="D8" s="1" t="s">
        <v>9</v>
      </c>
      <c r="E8" s="1">
        <v>4.7229999999999999</v>
      </c>
      <c r="F8" s="1">
        <v>4.3310000000000004</v>
      </c>
      <c r="G8" s="1">
        <v>4.4530000000000003</v>
      </c>
      <c r="H8" s="1">
        <v>4.3650000000000002</v>
      </c>
      <c r="M8" s="1" t="s">
        <v>9</v>
      </c>
      <c r="N8" s="1">
        <v>4.4329999999999998</v>
      </c>
      <c r="O8" s="1">
        <v>3.964</v>
      </c>
      <c r="P8" s="1">
        <v>4.8010000000000002</v>
      </c>
      <c r="Q8" s="1">
        <v>4.4290000000000003</v>
      </c>
    </row>
    <row r="9" spans="4:17" ht="16.600000000000001" x14ac:dyDescent="0.45">
      <c r="D9" s="1" t="s">
        <v>10</v>
      </c>
      <c r="E9" s="1">
        <f>E8/(SQRT(2*LN(2)))</f>
        <v>4.0113468627603135</v>
      </c>
      <c r="F9" s="1">
        <f t="shared" ref="F9:H9" si="0">F8/(SQRT(2*LN(2)))</f>
        <v>3.678412717047411</v>
      </c>
      <c r="G9" s="1">
        <f t="shared" si="0"/>
        <v>3.7820299766825491</v>
      </c>
      <c r="H9" s="1">
        <f t="shared" si="0"/>
        <v>3.7072896582572032</v>
      </c>
      <c r="M9" s="1" t="s">
        <v>10</v>
      </c>
      <c r="N9" s="1">
        <f>N8/(SQRT(2*LN(2)))</f>
        <v>3.7650435406767881</v>
      </c>
      <c r="O9" s="1">
        <f t="shared" ref="O9:P9" si="1">O8/(SQRT(2*LN(2)))</f>
        <v>3.3667116163417075</v>
      </c>
      <c r="P9" s="1">
        <f t="shared" si="1"/>
        <v>4.07759396318278</v>
      </c>
      <c r="Q9" s="1">
        <f>H8/(SQRT(2*LN(2)))</f>
        <v>3.7072896582572032</v>
      </c>
    </row>
    <row r="10" spans="4:17" ht="16.600000000000001" x14ac:dyDescent="0.45">
      <c r="D10" s="1" t="s">
        <v>11</v>
      </c>
      <c r="E10" s="1">
        <f>(PI()*E9^2)/(E5*10^-3)</f>
        <v>124.81744372116141</v>
      </c>
      <c r="F10" s="1">
        <f>(PI()*F9^2)/(F5*10^-3)</f>
        <v>87.106579748250269</v>
      </c>
      <c r="G10" s="1">
        <f>(PI()*G9^2)/(G5*10^-3)</f>
        <v>80.100816858788832</v>
      </c>
      <c r="H10" s="1">
        <f>(PI()*H9^2)/(H5*10^-3)</f>
        <v>67.465685596301114</v>
      </c>
      <c r="M10" s="1" t="s">
        <v>11</v>
      </c>
      <c r="N10" s="1">
        <f>(PI()*N9^2)/(N5*10^-3)</f>
        <v>109.96003144587101</v>
      </c>
      <c r="O10" s="1">
        <f t="shared" ref="O10:Q10" si="2">(PI()*O9^2)/(O5*10^-3)</f>
        <v>72.96958656468513</v>
      </c>
      <c r="P10" s="1">
        <f t="shared" si="2"/>
        <v>93.109708429073308</v>
      </c>
      <c r="Q10" s="1">
        <f t="shared" si="2"/>
        <v>67.465685596301114</v>
      </c>
    </row>
    <row r="11" spans="4:17" x14ac:dyDescent="0.35">
      <c r="D11" s="1" t="s">
        <v>12</v>
      </c>
      <c r="E11" s="1">
        <f>2*E10</f>
        <v>249.63488744232282</v>
      </c>
      <c r="F11" s="1">
        <f t="shared" ref="F11:H11" si="3">2*F10</f>
        <v>174.21315949650054</v>
      </c>
      <c r="G11" s="1">
        <f t="shared" si="3"/>
        <v>160.20163371757766</v>
      </c>
      <c r="H11" s="1">
        <f t="shared" si="3"/>
        <v>134.93137119260223</v>
      </c>
      <c r="M11" s="1" t="s">
        <v>12</v>
      </c>
      <c r="N11" s="1">
        <f>2*N10</f>
        <v>219.92006289174202</v>
      </c>
      <c r="O11" s="1">
        <f t="shared" ref="O11:Q11" si="4">2*O10</f>
        <v>145.93917312937026</v>
      </c>
      <c r="P11" s="1">
        <f t="shared" si="4"/>
        <v>186.21941685814662</v>
      </c>
      <c r="Q11" s="1">
        <f t="shared" si="4"/>
        <v>134.93137119260223</v>
      </c>
    </row>
    <row r="12" spans="4:17" ht="16.600000000000001" x14ac:dyDescent="0.45">
      <c r="D12" s="1" t="s">
        <v>13</v>
      </c>
      <c r="E12" s="1">
        <f>2*E9</f>
        <v>8.022693725520627</v>
      </c>
      <c r="F12" s="1">
        <f t="shared" ref="F12:H12" si="5">2*F9</f>
        <v>7.356825434094822</v>
      </c>
      <c r="G12" s="1">
        <f t="shared" si="5"/>
        <v>7.5640599533650983</v>
      </c>
      <c r="H12" s="1">
        <f t="shared" si="5"/>
        <v>7.4145793165144065</v>
      </c>
      <c r="M12" s="1" t="s">
        <v>13</v>
      </c>
      <c r="N12" s="1">
        <f>2*N9</f>
        <v>7.5300870813535763</v>
      </c>
      <c r="O12" s="1">
        <f t="shared" ref="O12:Q12" si="6">2*O9</f>
        <v>6.7334232326834149</v>
      </c>
      <c r="P12" s="1">
        <f t="shared" si="6"/>
        <v>8.15518792636556</v>
      </c>
      <c r="Q12" s="1">
        <f t="shared" si="6"/>
        <v>7.4145793165144065</v>
      </c>
    </row>
    <row r="13" spans="4:17" x14ac:dyDescent="0.35">
      <c r="D13" s="1" t="s">
        <v>14</v>
      </c>
      <c r="E13" s="1">
        <f>(1.33*E5*10^-3)/(PI()*E9)</f>
        <v>4.2743154870161074E-2</v>
      </c>
      <c r="F13" s="1">
        <f t="shared" ref="F13:H13" si="7">(1.33*F5*10^-3)/(PI()*F9)</f>
        <v>5.6164401447197559E-2</v>
      </c>
      <c r="G13" s="1">
        <f t="shared" si="7"/>
        <v>6.279711076923776E-2</v>
      </c>
      <c r="H13" s="1">
        <f t="shared" si="7"/>
        <v>7.3084490313879077E-2</v>
      </c>
      <c r="M13" s="1" t="s">
        <v>14</v>
      </c>
      <c r="N13" s="1">
        <f>(1.33*N5*10^-3)/(PI()*N9)</f>
        <v>4.5539345917385683E-2</v>
      </c>
      <c r="O13" s="1">
        <f t="shared" ref="O13:Q13" si="8">(1.33*O5*10^-3)/(PI()*O9)</f>
        <v>6.1364284224977972E-2</v>
      </c>
      <c r="P13" s="1">
        <f t="shared" si="8"/>
        <v>5.8245268538932665E-2</v>
      </c>
      <c r="Q13" s="1">
        <f t="shared" si="8"/>
        <v>7.3084490313879077E-2</v>
      </c>
    </row>
    <row r="15" spans="4:17" x14ac:dyDescent="0.35">
      <c r="E15" s="13" t="s">
        <v>15</v>
      </c>
      <c r="F15" s="13"/>
      <c r="G15" s="13"/>
      <c r="H15" s="13"/>
      <c r="N15" s="13" t="s">
        <v>16</v>
      </c>
      <c r="O15" s="13"/>
      <c r="P15" s="13"/>
      <c r="Q15" s="13"/>
    </row>
    <row r="16" spans="4:17" x14ac:dyDescent="0.35">
      <c r="E16" s="2" t="s">
        <v>2</v>
      </c>
      <c r="F16" s="4" t="s">
        <v>3</v>
      </c>
      <c r="G16" s="3" t="s">
        <v>4</v>
      </c>
      <c r="H16" s="5" t="s">
        <v>5</v>
      </c>
      <c r="N16" s="2" t="s">
        <v>2</v>
      </c>
      <c r="O16" s="4" t="s">
        <v>3</v>
      </c>
      <c r="P16" s="3" t="s">
        <v>4</v>
      </c>
      <c r="Q16" s="5" t="s">
        <v>5</v>
      </c>
    </row>
    <row r="17" spans="4:17" x14ac:dyDescent="0.35">
      <c r="D17" s="6" t="s">
        <v>6</v>
      </c>
      <c r="E17" s="6">
        <v>405</v>
      </c>
      <c r="F17" s="1">
        <v>488</v>
      </c>
      <c r="G17" s="1">
        <v>561</v>
      </c>
      <c r="H17" s="1">
        <v>640</v>
      </c>
      <c r="M17" s="6" t="s">
        <v>6</v>
      </c>
      <c r="N17" s="6">
        <v>405</v>
      </c>
      <c r="O17" s="1">
        <v>488</v>
      </c>
      <c r="P17" s="1">
        <v>561</v>
      </c>
      <c r="Q17" s="1">
        <v>640</v>
      </c>
    </row>
    <row r="18" spans="4:17" x14ac:dyDescent="0.35">
      <c r="D18" s="1" t="s">
        <v>7</v>
      </c>
      <c r="E18" s="1">
        <v>0.28699999999999998</v>
      </c>
      <c r="F18" s="1">
        <v>0.67200000000000004</v>
      </c>
      <c r="G18" s="1">
        <v>0.19600000000000001</v>
      </c>
      <c r="H18" s="1">
        <v>0.34399999999999997</v>
      </c>
      <c r="M18" s="1" t="s">
        <v>7</v>
      </c>
      <c r="N18" s="1">
        <v>-0.13400000000000001</v>
      </c>
      <c r="O18" s="1">
        <v>0.23899999999999999</v>
      </c>
      <c r="P18" s="1">
        <v>-0.217</v>
      </c>
      <c r="Q18" s="1">
        <v>-0.06</v>
      </c>
    </row>
    <row r="19" spans="4:17" x14ac:dyDescent="0.35">
      <c r="D19" s="1" t="s">
        <v>8</v>
      </c>
      <c r="E19" s="1">
        <v>878</v>
      </c>
      <c r="F19" s="1">
        <v>908</v>
      </c>
      <c r="G19" s="1">
        <v>759</v>
      </c>
      <c r="H19" s="1">
        <v>863</v>
      </c>
      <c r="M19" s="1" t="s">
        <v>8</v>
      </c>
      <c r="N19" s="1">
        <v>1058</v>
      </c>
      <c r="O19" s="1">
        <v>1094</v>
      </c>
      <c r="P19" s="1">
        <v>921</v>
      </c>
      <c r="Q19" s="1">
        <v>1033</v>
      </c>
    </row>
    <row r="20" spans="4:17" x14ac:dyDescent="0.35">
      <c r="D20" s="1" t="s">
        <v>9</v>
      </c>
      <c r="E20" s="1">
        <v>3.72</v>
      </c>
      <c r="F20" s="1">
        <v>4.7039999999999997</v>
      </c>
      <c r="G20" s="1">
        <v>4.6459999999999999</v>
      </c>
      <c r="H20" s="1">
        <v>4.5579999999999998</v>
      </c>
      <c r="M20" s="1" t="s">
        <v>9</v>
      </c>
      <c r="N20" s="1">
        <v>3.7280000000000002</v>
      </c>
      <c r="O20" s="1">
        <v>4.2370000000000001</v>
      </c>
      <c r="P20" s="1">
        <v>5.1879999999999997</v>
      </c>
      <c r="Q20" s="1">
        <v>4.234</v>
      </c>
    </row>
    <row r="21" spans="4:17" ht="16.600000000000001" x14ac:dyDescent="0.45">
      <c r="D21" s="1" t="s">
        <v>10</v>
      </c>
      <c r="E21" s="1">
        <f>E20/(SQRT(2*LN(2)))</f>
        <v>3.1594770970714312</v>
      </c>
      <c r="F21" s="1">
        <f t="shared" ref="F21:H21" si="9">F20/(SQRT(2*LN(2)))</f>
        <v>3.9952097485548412</v>
      </c>
      <c r="G21" s="1">
        <f t="shared" si="9"/>
        <v>3.9459490841381366</v>
      </c>
      <c r="H21" s="1">
        <f t="shared" si="9"/>
        <v>3.8712087657127907</v>
      </c>
      <c r="M21" s="1" t="s">
        <v>10</v>
      </c>
      <c r="N21" s="1">
        <f>N20/(SQRT(2*LN(2)))</f>
        <v>3.1662716714737353</v>
      </c>
      <c r="O21" s="1">
        <f t="shared" ref="O21:Q21" si="10">O20/(SQRT(2*LN(2)))</f>
        <v>3.5985764678203367</v>
      </c>
      <c r="P21" s="1">
        <f t="shared" si="10"/>
        <v>4.4062814998942423</v>
      </c>
      <c r="Q21" s="1">
        <f t="shared" si="10"/>
        <v>3.5960285024194727</v>
      </c>
    </row>
    <row r="22" spans="4:17" ht="16.600000000000001" x14ac:dyDescent="0.45">
      <c r="D22" s="1" t="s">
        <v>11</v>
      </c>
      <c r="E22" s="1">
        <f>(PI()*E21^2)/(E17*10^-3)</f>
        <v>77.43285504526105</v>
      </c>
      <c r="F22" s="1">
        <f t="shared" ref="F22:H22" si="11">(PI()*F21^2)/(F17*10^-3)</f>
        <v>102.75648031973121</v>
      </c>
      <c r="G22" s="1">
        <f t="shared" si="11"/>
        <v>87.194675478738674</v>
      </c>
      <c r="H22" s="1">
        <f t="shared" si="11"/>
        <v>73.563618535587153</v>
      </c>
      <c r="M22" s="1" t="s">
        <v>11</v>
      </c>
      <c r="N22" s="1">
        <f>(PI()*N21^2)/(N17*10^-3)</f>
        <v>77.766257695496378</v>
      </c>
      <c r="O22" s="1">
        <f t="shared" ref="O22:Q22" si="12">(PI()*O21^2)/(O17*10^-3)</f>
        <v>83.366491019411626</v>
      </c>
      <c r="P22" s="1">
        <f t="shared" si="12"/>
        <v>108.72551902777867</v>
      </c>
      <c r="Q22" s="1">
        <f t="shared" si="12"/>
        <v>63.47696434895429</v>
      </c>
    </row>
    <row r="23" spans="4:17" x14ac:dyDescent="0.35">
      <c r="D23" s="1" t="s">
        <v>12</v>
      </c>
      <c r="E23" s="1">
        <f>2*E22</f>
        <v>154.8657100905221</v>
      </c>
      <c r="F23" s="1">
        <f t="shared" ref="F23:H23" si="13">2*F22</f>
        <v>205.51296063946242</v>
      </c>
      <c r="G23" s="1">
        <f t="shared" si="13"/>
        <v>174.38935095747735</v>
      </c>
      <c r="H23" s="1">
        <f t="shared" si="13"/>
        <v>147.12723707117431</v>
      </c>
      <c r="M23" s="1" t="s">
        <v>12</v>
      </c>
      <c r="N23" s="1">
        <f>2*N22</f>
        <v>155.53251539099276</v>
      </c>
      <c r="O23" s="1">
        <f t="shared" ref="O23:Q23" si="14">2*O22</f>
        <v>166.73298203882325</v>
      </c>
      <c r="P23" s="1">
        <f t="shared" si="14"/>
        <v>217.45103805555735</v>
      </c>
      <c r="Q23" s="1">
        <f t="shared" si="14"/>
        <v>126.95392869790858</v>
      </c>
    </row>
    <row r="24" spans="4:17" ht="16.600000000000001" x14ac:dyDescent="0.45">
      <c r="D24" s="1" t="s">
        <v>13</v>
      </c>
      <c r="E24" s="1">
        <f>2*E21</f>
        <v>6.3189541941428624</v>
      </c>
      <c r="F24" s="1">
        <f t="shared" ref="F24:H24" si="15">2*F21</f>
        <v>7.9904194971096825</v>
      </c>
      <c r="G24" s="1">
        <f t="shared" si="15"/>
        <v>7.8918981682762732</v>
      </c>
      <c r="H24" s="1">
        <f t="shared" si="15"/>
        <v>7.7424175314255814</v>
      </c>
      <c r="M24" s="1" t="s">
        <v>13</v>
      </c>
      <c r="N24" s="1">
        <f>2*N21</f>
        <v>6.3325433429474707</v>
      </c>
      <c r="O24" s="1">
        <f t="shared" ref="O24:Q24" si="16">2*O21</f>
        <v>7.1971529356406734</v>
      </c>
      <c r="P24" s="1">
        <f t="shared" si="16"/>
        <v>8.8125629997884847</v>
      </c>
      <c r="Q24" s="1">
        <f t="shared" si="16"/>
        <v>7.1920570048389454</v>
      </c>
    </row>
    <row r="25" spans="4:17" x14ac:dyDescent="0.35">
      <c r="D25" s="1" t="s">
        <v>14</v>
      </c>
      <c r="E25" s="1">
        <f>(1.33*E17*10^-3)/(PI()*E21)</f>
        <v>5.4267720551551261E-2</v>
      </c>
      <c r="F25" s="1">
        <f t="shared" ref="F25:H25" si="17">(1.33*F17*10^-3)/(PI()*F21)</f>
        <v>5.1710889172579232E-2</v>
      </c>
      <c r="G25" s="1">
        <f t="shared" si="17"/>
        <v>6.0188449043352507E-2</v>
      </c>
      <c r="H25" s="1">
        <f t="shared" si="17"/>
        <v>6.9989864023712642E-2</v>
      </c>
      <c r="M25" s="1" t="s">
        <v>14</v>
      </c>
      <c r="N25" s="1">
        <f>(1.33*N17*10^-3)/(PI()*N21)</f>
        <v>5.4151266215603733E-2</v>
      </c>
      <c r="O25" s="1">
        <f t="shared" ref="O25:Q25" si="18">(1.33*O17*10^-3)/(PI()*O21)</f>
        <v>5.7410437259337421E-2</v>
      </c>
      <c r="P25" s="1">
        <f t="shared" si="18"/>
        <v>5.3900449933580528E-2</v>
      </c>
      <c r="Q25" s="1">
        <f t="shared" si="18"/>
        <v>7.5345725134643882E-2</v>
      </c>
    </row>
  </sheetData>
  <mergeCells count="4">
    <mergeCell ref="E3:H3"/>
    <mergeCell ref="N3:Q3"/>
    <mergeCell ref="E15:H15"/>
    <mergeCell ref="N15:Q15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4:O27"/>
  <sheetViews>
    <sheetView zoomScale="68" workbookViewId="0">
      <selection activeCell="D13" sqref="D13"/>
    </sheetView>
  </sheetViews>
  <sheetFormatPr defaultRowHeight="14.5" x14ac:dyDescent="0.35"/>
  <cols>
    <col min="3" max="3" width="13.1796875" customWidth="1"/>
    <col min="12" max="12" width="11.81640625" customWidth="1"/>
  </cols>
  <sheetData>
    <row r="4" spans="3:15" x14ac:dyDescent="0.35">
      <c r="D4" s="13" t="s">
        <v>0</v>
      </c>
      <c r="E4" s="13"/>
      <c r="F4" s="13"/>
      <c r="M4" s="13" t="s">
        <v>1</v>
      </c>
      <c r="N4" s="13"/>
      <c r="O4" s="13"/>
    </row>
    <row r="5" spans="3:15" x14ac:dyDescent="0.35">
      <c r="D5" s="7" t="s">
        <v>17</v>
      </c>
      <c r="E5" s="8" t="s">
        <v>18</v>
      </c>
      <c r="F5" s="8" t="s">
        <v>19</v>
      </c>
      <c r="M5" s="7" t="s">
        <v>17</v>
      </c>
      <c r="N5" s="8" t="s">
        <v>18</v>
      </c>
      <c r="O5" s="8" t="s">
        <v>19</v>
      </c>
    </row>
    <row r="6" spans="3:15" x14ac:dyDescent="0.35">
      <c r="C6" s="1" t="s">
        <v>7</v>
      </c>
      <c r="D6" s="1">
        <f>Top!E6</f>
        <v>9.8000000000000004E-2</v>
      </c>
      <c r="E6" s="1">
        <f>Middle!E6</f>
        <v>0.26500000000000001</v>
      </c>
      <c r="F6" s="1">
        <f>Bottom!E6</f>
        <v>0.36099999999999999</v>
      </c>
      <c r="L6" s="1" t="s">
        <v>7</v>
      </c>
      <c r="M6" s="1">
        <f>Top!N6</f>
        <v>-0.17699999999999999</v>
      </c>
      <c r="N6" s="1">
        <f>Middle!N6</f>
        <v>-0.14000000000000001</v>
      </c>
      <c r="O6" s="1">
        <f>Bottom!N6</f>
        <v>-0.14199999999999999</v>
      </c>
    </row>
    <row r="7" spans="3:15" x14ac:dyDescent="0.35">
      <c r="C7" s="1" t="s">
        <v>8</v>
      </c>
      <c r="D7" s="1">
        <f>Top!E7</f>
        <v>879</v>
      </c>
      <c r="E7" s="1">
        <f>Middle!E7</f>
        <v>945</v>
      </c>
      <c r="F7" s="1">
        <f>Bottom!E7</f>
        <v>938</v>
      </c>
      <c r="L7" s="1" t="s">
        <v>8</v>
      </c>
      <c r="M7" s="1">
        <f>Top!N7</f>
        <v>1052</v>
      </c>
      <c r="N7" s="1">
        <f>Middle!N7</f>
        <v>1096</v>
      </c>
      <c r="O7" s="1">
        <f>Bottom!N7</f>
        <v>1050</v>
      </c>
    </row>
    <row r="8" spans="3:15" x14ac:dyDescent="0.35">
      <c r="C8" s="1" t="s">
        <v>9</v>
      </c>
      <c r="D8" s="1">
        <f>Top!E8</f>
        <v>5.6740000000000004</v>
      </c>
      <c r="E8" s="1">
        <f>Middle!E8</f>
        <v>5.4409999999999998</v>
      </c>
      <c r="F8" s="1">
        <f>Bottom!E8</f>
        <v>4.7229999999999999</v>
      </c>
      <c r="L8" s="1" t="s">
        <v>9</v>
      </c>
      <c r="M8" s="1">
        <f>Top!N8</f>
        <v>4.7510000000000003</v>
      </c>
      <c r="N8" s="1">
        <f>Middle!N8</f>
        <v>5.3579999999999997</v>
      </c>
      <c r="O8" s="1">
        <f>Bottom!N8</f>
        <v>4.4329999999999998</v>
      </c>
    </row>
    <row r="9" spans="3:15" ht="16.600000000000001" x14ac:dyDescent="0.45">
      <c r="C9" s="1" t="s">
        <v>10</v>
      </c>
      <c r="D9" s="1">
        <f>Top!E9</f>
        <v>4.8190518948342209</v>
      </c>
      <c r="E9" s="1">
        <f>Middle!E9</f>
        <v>4.6211599153671115</v>
      </c>
      <c r="F9" s="1">
        <f>Bottom!E9</f>
        <v>4.0113468627603135</v>
      </c>
      <c r="L9" s="1" t="s">
        <v>10</v>
      </c>
      <c r="M9" s="1">
        <f>Top!N9</f>
        <v>4.0351278731683786</v>
      </c>
      <c r="N9" s="1">
        <f>Middle!N9</f>
        <v>4.5506662059432061</v>
      </c>
      <c r="O9" s="1">
        <f>Bottom!N9</f>
        <v>3.7650435406767881</v>
      </c>
    </row>
    <row r="10" spans="3:15" ht="16.600000000000001" x14ac:dyDescent="0.45">
      <c r="C10" s="1" t="s">
        <v>11</v>
      </c>
      <c r="D10" s="1">
        <f>Top!E10</f>
        <v>180.14327572516527</v>
      </c>
      <c r="E10" s="1">
        <f>Middle!E10</f>
        <v>165.65206136281537</v>
      </c>
      <c r="F10" s="1">
        <f>Bottom!E10</f>
        <v>124.81744372116141</v>
      </c>
      <c r="L10" s="1" t="s">
        <v>11</v>
      </c>
      <c r="M10" s="1">
        <f>Top!N10</f>
        <v>126.30177488109081</v>
      </c>
      <c r="N10" s="1">
        <f>Middle!N10</f>
        <v>160.63671389955351</v>
      </c>
      <c r="O10" s="1">
        <f>Bottom!N10</f>
        <v>109.96003144587101</v>
      </c>
    </row>
    <row r="11" spans="3:15" x14ac:dyDescent="0.35">
      <c r="C11" s="1" t="s">
        <v>12</v>
      </c>
      <c r="D11" s="1">
        <f>Top!E11</f>
        <v>360.28655145033053</v>
      </c>
      <c r="E11" s="1">
        <f>Middle!E11</f>
        <v>331.30412272563075</v>
      </c>
      <c r="F11" s="1">
        <f>Bottom!E11</f>
        <v>249.63488744232282</v>
      </c>
      <c r="L11" s="1" t="s">
        <v>12</v>
      </c>
      <c r="M11" s="1">
        <f>Top!N11</f>
        <v>252.60354976218161</v>
      </c>
      <c r="N11" s="1">
        <f>Middle!N11</f>
        <v>321.27342779910703</v>
      </c>
      <c r="O11" s="1">
        <f>Bottom!N11</f>
        <v>219.92006289174202</v>
      </c>
    </row>
    <row r="12" spans="3:15" ht="16.600000000000001" x14ac:dyDescent="0.45">
      <c r="C12" s="1" t="s">
        <v>13</v>
      </c>
      <c r="D12" s="1">
        <f>Top!E12</f>
        <v>9.6381037896684418</v>
      </c>
      <c r="E12" s="1">
        <f>Middle!E12</f>
        <v>9.2423198307342229</v>
      </c>
      <c r="F12" s="1">
        <f>Bottom!E12</f>
        <v>8.022693725520627</v>
      </c>
      <c r="L12" s="1" t="s">
        <v>13</v>
      </c>
      <c r="M12" s="1">
        <f>Top!N12</f>
        <v>8.0702557463367572</v>
      </c>
      <c r="N12" s="1">
        <f>Middle!N12</f>
        <v>9.1013324118864123</v>
      </c>
      <c r="O12" s="1">
        <f>Bottom!N12</f>
        <v>7.5300870813535763</v>
      </c>
    </row>
    <row r="13" spans="3:15" x14ac:dyDescent="0.35">
      <c r="C13" s="1" t="s">
        <v>14</v>
      </c>
      <c r="D13" s="1">
        <f>Top!E13</f>
        <v>3.5579118867072733E-2</v>
      </c>
      <c r="E13" s="1">
        <f>Middle!E13</f>
        <v>3.7102723847044793E-2</v>
      </c>
      <c r="F13" s="1">
        <f>Bottom!E13</f>
        <v>4.2743154870161074E-2</v>
      </c>
      <c r="L13" s="1" t="s">
        <v>14</v>
      </c>
      <c r="M13" s="1">
        <f>Top!N13</f>
        <v>4.2491248253372076E-2</v>
      </c>
      <c r="N13" s="1">
        <f>Middle!N13</f>
        <v>3.767747675471645E-2</v>
      </c>
      <c r="O13" s="1">
        <f>Bottom!N13</f>
        <v>4.5539345917385683E-2</v>
      </c>
    </row>
    <row r="18" spans="3:15" x14ac:dyDescent="0.35">
      <c r="D18" s="13" t="s">
        <v>15</v>
      </c>
      <c r="E18" s="13"/>
      <c r="F18" s="13"/>
      <c r="M18" s="13" t="s">
        <v>16</v>
      </c>
      <c r="N18" s="13"/>
      <c r="O18" s="13"/>
    </row>
    <row r="19" spans="3:15" x14ac:dyDescent="0.35">
      <c r="D19" s="7" t="s">
        <v>17</v>
      </c>
      <c r="E19" s="8" t="s">
        <v>18</v>
      </c>
      <c r="F19" s="8" t="s">
        <v>19</v>
      </c>
      <c r="M19" s="7" t="s">
        <v>17</v>
      </c>
      <c r="N19" s="8" t="s">
        <v>18</v>
      </c>
      <c r="O19" s="8" t="s">
        <v>19</v>
      </c>
    </row>
    <row r="20" spans="3:15" x14ac:dyDescent="0.35">
      <c r="C20" s="1" t="s">
        <v>7</v>
      </c>
      <c r="D20" s="1">
        <f>Top!E18</f>
        <v>0.187</v>
      </c>
      <c r="E20" s="1">
        <f>Middle!E18</f>
        <v>0.27400000000000002</v>
      </c>
      <c r="F20" s="1">
        <f>Bottom!E18</f>
        <v>0.28699999999999998</v>
      </c>
      <c r="L20" s="1" t="s">
        <v>7</v>
      </c>
      <c r="M20" s="1">
        <f>Top!N18</f>
        <v>-0.17</v>
      </c>
      <c r="N20" s="1">
        <f>Middle!N18</f>
        <v>-0.13200000000000001</v>
      </c>
      <c r="O20" s="1">
        <f>Bottom!N18</f>
        <v>-0.13400000000000001</v>
      </c>
    </row>
    <row r="21" spans="3:15" x14ac:dyDescent="0.35">
      <c r="C21" s="1" t="s">
        <v>8</v>
      </c>
      <c r="D21" s="1">
        <f>Top!E19</f>
        <v>883</v>
      </c>
      <c r="E21" s="1">
        <f>Middle!E19</f>
        <v>927</v>
      </c>
      <c r="F21" s="1">
        <f>Bottom!E19</f>
        <v>878</v>
      </c>
      <c r="L21" s="1" t="s">
        <v>8</v>
      </c>
      <c r="M21" s="1">
        <f>Top!N19</f>
        <v>1047</v>
      </c>
      <c r="N21" s="1">
        <f>Middle!N19</f>
        <v>1101</v>
      </c>
      <c r="O21" s="1">
        <f>Bottom!N19</f>
        <v>1058</v>
      </c>
    </row>
    <row r="22" spans="3:15" x14ac:dyDescent="0.35">
      <c r="C22" s="1" t="s">
        <v>9</v>
      </c>
      <c r="D22" s="1">
        <f>Top!E20</f>
        <v>3.7839999999999998</v>
      </c>
      <c r="E22" s="1">
        <f>Middle!E20</f>
        <v>3.7080000000000002</v>
      </c>
      <c r="F22" s="1">
        <f>Bottom!E20</f>
        <v>3.72</v>
      </c>
      <c r="L22" s="1" t="s">
        <v>9</v>
      </c>
      <c r="M22" s="1">
        <f>Top!N20</f>
        <v>3.65</v>
      </c>
      <c r="N22" s="1">
        <f>Middle!N20</f>
        <v>3.8380000000000001</v>
      </c>
      <c r="O22" s="1">
        <f>Bottom!N20</f>
        <v>3.7280000000000002</v>
      </c>
    </row>
    <row r="23" spans="3:15" ht="16.600000000000001" x14ac:dyDescent="0.45">
      <c r="C23" s="1" t="s">
        <v>10</v>
      </c>
      <c r="D23" s="1">
        <f>Top!E21</f>
        <v>3.2138336922898638</v>
      </c>
      <c r="E23" s="1">
        <f>Middle!E21</f>
        <v>3.1492852354679748</v>
      </c>
      <c r="F23" s="1">
        <f>Bottom!E21</f>
        <v>3.1594770970714312</v>
      </c>
      <c r="L23" s="1" t="s">
        <v>10</v>
      </c>
      <c r="M23" s="1">
        <f>Top!N21</f>
        <v>3.1000245710512697</v>
      </c>
      <c r="N23" s="1">
        <f>Middle!N21</f>
        <v>3.259697069505417</v>
      </c>
      <c r="O23" s="1">
        <f>Bottom!N21</f>
        <v>3.1662716714737353</v>
      </c>
    </row>
    <row r="24" spans="3:15" ht="16.600000000000001" x14ac:dyDescent="0.45">
      <c r="C24" s="1" t="s">
        <v>11</v>
      </c>
      <c r="D24" s="1">
        <f>Top!E22</f>
        <v>80.120130541894795</v>
      </c>
      <c r="E24" s="1">
        <f>Middle!E22</f>
        <v>76.93409399143151</v>
      </c>
      <c r="F24" s="1">
        <f>Bottom!E22</f>
        <v>77.43285504526105</v>
      </c>
      <c r="L24" s="1" t="s">
        <v>11</v>
      </c>
      <c r="M24" s="1">
        <f>Top!N22</f>
        <v>74.546133320361463</v>
      </c>
      <c r="N24" s="1">
        <f>Middle!N22</f>
        <v>82.423173808628604</v>
      </c>
      <c r="O24" s="1">
        <f>Bottom!N22</f>
        <v>77.766257695496378</v>
      </c>
    </row>
    <row r="25" spans="3:15" x14ac:dyDescent="0.35">
      <c r="C25" s="1" t="s">
        <v>12</v>
      </c>
      <c r="D25" s="1">
        <f>Top!E23</f>
        <v>160.24026108378959</v>
      </c>
      <c r="E25" s="1">
        <f>Middle!E23</f>
        <v>153.86818798286302</v>
      </c>
      <c r="F25" s="1">
        <f>Bottom!E23</f>
        <v>154.8657100905221</v>
      </c>
      <c r="L25" s="1" t="s">
        <v>12</v>
      </c>
      <c r="M25" s="1">
        <f>Top!N23</f>
        <v>149.09226664072293</v>
      </c>
      <c r="N25" s="1">
        <f>Middle!N23</f>
        <v>164.84634761725721</v>
      </c>
      <c r="O25" s="1">
        <f>Bottom!N23</f>
        <v>155.53251539099276</v>
      </c>
    </row>
    <row r="26" spans="3:15" ht="16.600000000000001" x14ac:dyDescent="0.45">
      <c r="C26" s="1" t="s">
        <v>13</v>
      </c>
      <c r="D26" s="1">
        <f>Top!E24</f>
        <v>6.4276673845797276</v>
      </c>
      <c r="E26" s="1">
        <f>Middle!E24</f>
        <v>6.2985704709359496</v>
      </c>
      <c r="F26" s="1">
        <f>Bottom!E24</f>
        <v>6.3189541941428624</v>
      </c>
      <c r="L26" s="1" t="s">
        <v>13</v>
      </c>
      <c r="M26" s="1">
        <f>Top!N24</f>
        <v>6.2000491421025394</v>
      </c>
      <c r="N26" s="1">
        <f>Middle!N24</f>
        <v>6.5193941390108341</v>
      </c>
      <c r="O26" s="1">
        <f>Bottom!N24</f>
        <v>6.3325433429474707</v>
      </c>
    </row>
    <row r="27" spans="3:15" x14ac:dyDescent="0.35">
      <c r="C27" s="1" t="s">
        <v>14</v>
      </c>
      <c r="D27" s="1">
        <f>Top!E25</f>
        <v>5.3349873269495439E-2</v>
      </c>
      <c r="E27" s="1">
        <f>Middle!E25</f>
        <v>5.4443344242656608E-2</v>
      </c>
      <c r="F27" s="1">
        <f>Bottom!E25</f>
        <v>5.4267720551551261E-2</v>
      </c>
      <c r="L27" s="1" t="s">
        <v>14</v>
      </c>
      <c r="M27" s="1">
        <f>Top!N25</f>
        <v>5.5308471356649506E-2</v>
      </c>
      <c r="N27" s="1">
        <f>Middle!N25</f>
        <v>5.2599249726881375E-2</v>
      </c>
      <c r="O27" s="1">
        <f>Bottom!N25</f>
        <v>5.4151266215603733E-2</v>
      </c>
    </row>
  </sheetData>
  <mergeCells count="4">
    <mergeCell ref="D4:F4"/>
    <mergeCell ref="M4:O4"/>
    <mergeCell ref="D18:F18"/>
    <mergeCell ref="M18:O18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4:O27"/>
  <sheetViews>
    <sheetView topLeftCell="A3" workbookViewId="0">
      <selection activeCell="M8" sqref="M8:O8"/>
    </sheetView>
  </sheetViews>
  <sheetFormatPr defaultRowHeight="14.5" x14ac:dyDescent="0.35"/>
  <cols>
    <col min="3" max="3" width="13.1796875" customWidth="1"/>
    <col min="12" max="12" width="11.81640625" customWidth="1"/>
  </cols>
  <sheetData>
    <row r="4" spans="3:15" x14ac:dyDescent="0.35">
      <c r="D4" s="13" t="s">
        <v>0</v>
      </c>
      <c r="E4" s="13"/>
      <c r="F4" s="13"/>
      <c r="M4" s="13" t="s">
        <v>1</v>
      </c>
      <c r="N4" s="13"/>
      <c r="O4" s="13"/>
    </row>
    <row r="5" spans="3:15" x14ac:dyDescent="0.35">
      <c r="D5" s="7" t="s">
        <v>17</v>
      </c>
      <c r="E5" s="8" t="s">
        <v>18</v>
      </c>
      <c r="F5" s="8" t="s">
        <v>19</v>
      </c>
      <c r="M5" s="7" t="s">
        <v>17</v>
      </c>
      <c r="N5" s="8" t="s">
        <v>18</v>
      </c>
      <c r="O5" s="8" t="s">
        <v>19</v>
      </c>
    </row>
    <row r="6" spans="3:15" x14ac:dyDescent="0.35">
      <c r="C6" s="1" t="s">
        <v>7</v>
      </c>
      <c r="D6" s="1">
        <f>Top!F6</f>
        <v>0.53600000000000003</v>
      </c>
      <c r="E6" s="1">
        <f>Middle!F6</f>
        <v>0.626</v>
      </c>
      <c r="F6" s="1">
        <f>Bottom!F6</f>
        <v>0.65400000000000003</v>
      </c>
      <c r="L6" s="1" t="s">
        <v>7</v>
      </c>
      <c r="M6" s="1">
        <f>Top!O6</f>
        <v>0.186</v>
      </c>
      <c r="N6" s="1">
        <f>Middle!O6</f>
        <v>0.23300000000000001</v>
      </c>
      <c r="O6" s="1">
        <f>Bottom!O6</f>
        <v>0.23699999999999999</v>
      </c>
    </row>
    <row r="7" spans="3:15" x14ac:dyDescent="0.35">
      <c r="C7" s="1" t="s">
        <v>8</v>
      </c>
      <c r="D7" s="1">
        <f>Top!F7</f>
        <v>921</v>
      </c>
      <c r="E7" s="1">
        <f>Middle!F7</f>
        <v>958</v>
      </c>
      <c r="F7" s="1">
        <f>Bottom!F7</f>
        <v>915</v>
      </c>
      <c r="L7" s="1" t="s">
        <v>8</v>
      </c>
      <c r="M7" s="1">
        <f>Top!O7</f>
        <v>1086</v>
      </c>
      <c r="N7" s="1">
        <f>Middle!O7</f>
        <v>1125</v>
      </c>
      <c r="O7" s="1">
        <f>Bottom!O7</f>
        <v>1093</v>
      </c>
    </row>
    <row r="8" spans="3:15" x14ac:dyDescent="0.35">
      <c r="C8" s="1" t="s">
        <v>9</v>
      </c>
      <c r="D8" s="1">
        <f>Top!F8</f>
        <v>3.875</v>
      </c>
      <c r="E8" s="1">
        <f>Middle!F8</f>
        <v>4.0060000000000002</v>
      </c>
      <c r="F8" s="1">
        <f>Bottom!F8</f>
        <v>4.3310000000000004</v>
      </c>
      <c r="L8" s="1" t="s">
        <v>9</v>
      </c>
      <c r="M8" s="1">
        <f>Top!O8</f>
        <v>3.8050000000000002</v>
      </c>
      <c r="N8" s="1">
        <f>Middle!O8</f>
        <v>3.8719999999999999</v>
      </c>
      <c r="O8" s="1">
        <f>Bottom!O8</f>
        <v>3.964</v>
      </c>
    </row>
    <row r="9" spans="3:15" ht="16.600000000000001" x14ac:dyDescent="0.45">
      <c r="C9" s="1" t="s">
        <v>10</v>
      </c>
      <c r="D9" s="1">
        <f>Top!F9</f>
        <v>3.2911219761160737</v>
      </c>
      <c r="E9" s="1">
        <f>Middle!F9</f>
        <v>3.4023831319538047</v>
      </c>
      <c r="F9" s="1">
        <f>Bottom!F9</f>
        <v>3.678412717047411</v>
      </c>
      <c r="L9" s="1" t="s">
        <v>10</v>
      </c>
      <c r="M9" s="1">
        <f>Top!O9</f>
        <v>3.2316694500959127</v>
      </c>
      <c r="N9" s="1">
        <f>Middle!O9</f>
        <v>3.2885740107152097</v>
      </c>
      <c r="O9" s="1">
        <f>Bottom!O9</f>
        <v>3.3667116163417075</v>
      </c>
    </row>
    <row r="10" spans="3:15" ht="16.600000000000001" x14ac:dyDescent="0.45">
      <c r="C10" s="1" t="s">
        <v>11</v>
      </c>
      <c r="D10" s="1">
        <f>Top!F10</f>
        <v>69.729733867442576</v>
      </c>
      <c r="E10" s="1">
        <f>Middle!F10</f>
        <v>74.524056066606477</v>
      </c>
      <c r="F10" s="1">
        <f>Bottom!F10</f>
        <v>87.106579748250269</v>
      </c>
      <c r="L10" s="1" t="s">
        <v>11</v>
      </c>
      <c r="M10" s="1">
        <f>Top!O10</f>
        <v>67.23322074014105</v>
      </c>
      <c r="N10" s="1">
        <f>Middle!O10</f>
        <v>69.621807041565305</v>
      </c>
      <c r="O10" s="1">
        <f>Bottom!O10</f>
        <v>72.96958656468513</v>
      </c>
    </row>
    <row r="11" spans="3:15" x14ac:dyDescent="0.35">
      <c r="C11" s="1" t="s">
        <v>12</v>
      </c>
      <c r="D11" s="1">
        <f>Top!F11</f>
        <v>139.45946773488515</v>
      </c>
      <c r="E11" s="1">
        <f>Middle!F11</f>
        <v>149.04811213321295</v>
      </c>
      <c r="F11" s="1">
        <f>Bottom!F11</f>
        <v>174.21315949650054</v>
      </c>
      <c r="L11" s="1" t="s">
        <v>12</v>
      </c>
      <c r="M11" s="1">
        <f>Top!O11</f>
        <v>134.4664414802821</v>
      </c>
      <c r="N11" s="1">
        <f>Middle!O11</f>
        <v>139.24361408313061</v>
      </c>
      <c r="O11" s="1">
        <f>Bottom!O11</f>
        <v>145.93917312937026</v>
      </c>
    </row>
    <row r="12" spans="3:15" ht="16.600000000000001" x14ac:dyDescent="0.45">
      <c r="C12" s="1" t="s">
        <v>13</v>
      </c>
      <c r="D12" s="1">
        <f>Top!F12</f>
        <v>6.5822439522321474</v>
      </c>
      <c r="E12" s="1">
        <f>Middle!F12</f>
        <v>6.8047662639076094</v>
      </c>
      <c r="F12" s="1">
        <f>Bottom!F12</f>
        <v>7.356825434094822</v>
      </c>
      <c r="L12" s="1" t="s">
        <v>13</v>
      </c>
      <c r="M12" s="1">
        <f>Top!O12</f>
        <v>6.4633389001918253</v>
      </c>
      <c r="N12" s="1">
        <f>Middle!O12</f>
        <v>6.5771480214304194</v>
      </c>
      <c r="O12" s="1">
        <f>Bottom!O12</f>
        <v>6.7334232326834149</v>
      </c>
    </row>
    <row r="13" spans="3:15" x14ac:dyDescent="0.35">
      <c r="C13" s="1" t="s">
        <v>14</v>
      </c>
      <c r="D13" s="1">
        <f>Top!F13</f>
        <v>6.2773683269112951E-2</v>
      </c>
      <c r="E13" s="1">
        <f>Middle!F13</f>
        <v>6.0720924280532357E-2</v>
      </c>
      <c r="F13" s="1">
        <f>Bottom!F13</f>
        <v>5.6164401447197559E-2</v>
      </c>
      <c r="L13" s="1" t="s">
        <v>14</v>
      </c>
      <c r="M13" s="1">
        <f>Top!O13</f>
        <v>6.3928521069070335E-2</v>
      </c>
      <c r="N13" s="1">
        <f>Middle!O13</f>
        <v>6.2822319903877238E-2</v>
      </c>
      <c r="O13" s="1">
        <f>Bottom!O13</f>
        <v>6.1364284224977972E-2</v>
      </c>
    </row>
    <row r="18" spans="3:15" x14ac:dyDescent="0.35">
      <c r="D18" s="13" t="s">
        <v>15</v>
      </c>
      <c r="E18" s="13"/>
      <c r="F18" s="13"/>
      <c r="M18" s="13" t="s">
        <v>16</v>
      </c>
      <c r="N18" s="13"/>
      <c r="O18" s="13"/>
    </row>
    <row r="19" spans="3:15" x14ac:dyDescent="0.35">
      <c r="D19" s="7" t="s">
        <v>17</v>
      </c>
      <c r="E19" s="8" t="s">
        <v>18</v>
      </c>
      <c r="F19" s="8" t="s">
        <v>19</v>
      </c>
      <c r="M19" s="7" t="s">
        <v>17</v>
      </c>
      <c r="N19" s="8" t="s">
        <v>18</v>
      </c>
      <c r="O19" s="8" t="s">
        <v>19</v>
      </c>
    </row>
    <row r="20" spans="3:15" x14ac:dyDescent="0.35">
      <c r="C20" s="1" t="s">
        <v>7</v>
      </c>
      <c r="D20" s="1">
        <f>Top!F18</f>
        <v>0.55100000000000005</v>
      </c>
      <c r="E20" s="1">
        <f>Middle!F18</f>
        <v>0.627</v>
      </c>
      <c r="F20" s="1">
        <f>Bottom!F18</f>
        <v>0.67200000000000004</v>
      </c>
      <c r="L20" s="1" t="s">
        <v>7</v>
      </c>
      <c r="M20" s="1">
        <f>Top!O18</f>
        <v>0.186</v>
      </c>
      <c r="N20" s="1">
        <f>Middle!O18</f>
        <v>0.22900000000000001</v>
      </c>
      <c r="O20" s="1">
        <f>Bottom!O18</f>
        <v>0.23899999999999999</v>
      </c>
    </row>
    <row r="21" spans="3:15" x14ac:dyDescent="0.35">
      <c r="C21" s="1" t="s">
        <v>8</v>
      </c>
      <c r="D21" s="1">
        <f>Top!F19</f>
        <v>929</v>
      </c>
      <c r="E21" s="1">
        <f>Middle!F19</f>
        <v>971</v>
      </c>
      <c r="F21" s="1">
        <f>Bottom!F19</f>
        <v>908</v>
      </c>
      <c r="L21" s="1" t="s">
        <v>8</v>
      </c>
      <c r="M21" s="1">
        <f>Top!O19</f>
        <v>1101</v>
      </c>
      <c r="N21" s="1">
        <f>Middle!O19</f>
        <v>1140</v>
      </c>
      <c r="O21" s="1">
        <f>Bottom!O19</f>
        <v>1094</v>
      </c>
    </row>
    <row r="22" spans="3:15" x14ac:dyDescent="0.35">
      <c r="C22" s="1" t="s">
        <v>9</v>
      </c>
      <c r="D22" s="1">
        <f>Top!F20</f>
        <v>4.2460000000000004</v>
      </c>
      <c r="E22" s="1">
        <f>Middle!F20</f>
        <v>4.3470000000000004</v>
      </c>
      <c r="F22" s="1">
        <f>Bottom!F20</f>
        <v>4.7039999999999997</v>
      </c>
      <c r="L22" s="1" t="s">
        <v>9</v>
      </c>
      <c r="M22" s="1">
        <f>Top!O20</f>
        <v>4.1100000000000003</v>
      </c>
      <c r="N22" s="1">
        <f>Middle!O20</f>
        <v>4.0090000000000003</v>
      </c>
      <c r="O22" s="1">
        <f>Bottom!O20</f>
        <v>4.2370000000000001</v>
      </c>
    </row>
    <row r="23" spans="3:15" ht="16.600000000000001" x14ac:dyDescent="0.45">
      <c r="C23" s="1" t="s">
        <v>10</v>
      </c>
      <c r="D23" s="1">
        <f>Top!F21</f>
        <v>3.6062203640229291</v>
      </c>
      <c r="E23" s="1">
        <f>Middle!F21</f>
        <v>3.6920018658520193</v>
      </c>
      <c r="F23" s="1">
        <f>Bottom!F21</f>
        <v>3.9952097485548412</v>
      </c>
      <c r="L23" s="1" t="s">
        <v>10</v>
      </c>
      <c r="M23" s="1">
        <f>Top!O21</f>
        <v>3.4907125991837584</v>
      </c>
      <c r="N23" s="1">
        <f>Middle!O21</f>
        <v>3.4049310973546687</v>
      </c>
      <c r="O23" s="1">
        <f>Bottom!O21</f>
        <v>3.5985764678203367</v>
      </c>
    </row>
    <row r="24" spans="3:15" ht="16.600000000000001" x14ac:dyDescent="0.45">
      <c r="C24" s="1" t="s">
        <v>11</v>
      </c>
      <c r="D24" s="1">
        <f>Top!F22</f>
        <v>83.721032105219095</v>
      </c>
      <c r="E24" s="1">
        <f>Middle!F22</f>
        <v>87.751363704164632</v>
      </c>
      <c r="F24" s="1">
        <f>Bottom!F22</f>
        <v>102.75648031973121</v>
      </c>
      <c r="L24" s="1" t="s">
        <v>11</v>
      </c>
      <c r="M24" s="1">
        <f>Top!O22</f>
        <v>78.443730278441748</v>
      </c>
      <c r="N24" s="1">
        <f>Middle!O22</f>
        <v>74.635716517026808</v>
      </c>
      <c r="O24" s="1">
        <f>Bottom!O22</f>
        <v>83.366491019411626</v>
      </c>
    </row>
    <row r="25" spans="3:15" x14ac:dyDescent="0.35">
      <c r="C25" s="1" t="s">
        <v>12</v>
      </c>
      <c r="D25" s="1">
        <f>Top!F23</f>
        <v>167.44206421043819</v>
      </c>
      <c r="E25" s="1">
        <f>Middle!F23</f>
        <v>175.50272740832926</v>
      </c>
      <c r="F25" s="1">
        <f>Bottom!F23</f>
        <v>205.51296063946242</v>
      </c>
      <c r="L25" s="1" t="s">
        <v>12</v>
      </c>
      <c r="M25" s="1">
        <f>Top!O23</f>
        <v>156.8874605568835</v>
      </c>
      <c r="N25" s="1">
        <f>Middle!O23</f>
        <v>149.27143303405362</v>
      </c>
      <c r="O25" s="1">
        <f>Bottom!O23</f>
        <v>166.73298203882325</v>
      </c>
    </row>
    <row r="26" spans="3:15" ht="16.600000000000001" x14ac:dyDescent="0.45">
      <c r="C26" s="1" t="s">
        <v>13</v>
      </c>
      <c r="D26" s="1">
        <f>Top!F24</f>
        <v>7.2124407280458582</v>
      </c>
      <c r="E26" s="1">
        <f>Middle!F24</f>
        <v>7.3840037317040386</v>
      </c>
      <c r="F26" s="1">
        <f>Bottom!F24</f>
        <v>7.9904194971096825</v>
      </c>
      <c r="L26" s="1" t="s">
        <v>13</v>
      </c>
      <c r="M26" s="1">
        <f>Top!O24</f>
        <v>6.9814251983675168</v>
      </c>
      <c r="N26" s="1">
        <f>Middle!O24</f>
        <v>6.8098621947093374</v>
      </c>
      <c r="O26" s="1">
        <f>Bottom!O24</f>
        <v>7.1971529356406734</v>
      </c>
    </row>
    <row r="27" spans="3:15" x14ac:dyDescent="0.35">
      <c r="C27" s="1" t="s">
        <v>14</v>
      </c>
      <c r="D27" s="1">
        <f>Top!F25</f>
        <v>5.7288747684364733E-2</v>
      </c>
      <c r="E27" s="1">
        <f>Middle!F25</f>
        <v>5.5957677172259634E-2</v>
      </c>
      <c r="F27" s="1">
        <f>Bottom!F25</f>
        <v>5.1710889172579232E-2</v>
      </c>
      <c r="L27" s="1" t="s">
        <v>14</v>
      </c>
      <c r="M27" s="1">
        <f>Top!O25</f>
        <v>5.9184433739127171E-2</v>
      </c>
      <c r="N27" s="1">
        <f>Middle!O25</f>
        <v>6.0675485823849504E-2</v>
      </c>
      <c r="O27" s="1">
        <f>Bottom!O25</f>
        <v>5.7410437259337421E-2</v>
      </c>
    </row>
  </sheetData>
  <mergeCells count="4">
    <mergeCell ref="D4:F4"/>
    <mergeCell ref="M4:O4"/>
    <mergeCell ref="D18:F18"/>
    <mergeCell ref="M18:O18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4:O27"/>
  <sheetViews>
    <sheetView topLeftCell="A14" workbookViewId="0">
      <selection activeCell="H25" sqref="H25"/>
    </sheetView>
  </sheetViews>
  <sheetFormatPr defaultRowHeight="14.5" x14ac:dyDescent="0.35"/>
  <cols>
    <col min="3" max="3" width="13.1796875" customWidth="1"/>
    <col min="12" max="12" width="11.81640625" customWidth="1"/>
  </cols>
  <sheetData>
    <row r="4" spans="3:15" x14ac:dyDescent="0.35">
      <c r="D4" s="13" t="s">
        <v>0</v>
      </c>
      <c r="E4" s="13"/>
      <c r="F4" s="13"/>
      <c r="M4" s="13" t="s">
        <v>1</v>
      </c>
      <c r="N4" s="13"/>
      <c r="O4" s="13"/>
    </row>
    <row r="5" spans="3:15" x14ac:dyDescent="0.35">
      <c r="D5" s="7" t="s">
        <v>17</v>
      </c>
      <c r="E5" s="8" t="s">
        <v>18</v>
      </c>
      <c r="F5" s="8" t="s">
        <v>19</v>
      </c>
      <c r="M5" s="7" t="s">
        <v>17</v>
      </c>
      <c r="N5" s="8" t="s">
        <v>18</v>
      </c>
      <c r="O5" s="8" t="s">
        <v>19</v>
      </c>
    </row>
    <row r="6" spans="3:15" x14ac:dyDescent="0.35">
      <c r="C6" s="1" t="s">
        <v>7</v>
      </c>
      <c r="D6" s="1">
        <f>Top!G6</f>
        <v>5.6000000000000001E-2</v>
      </c>
      <c r="E6" s="1">
        <f>Middle!G6</f>
        <v>0.158</v>
      </c>
      <c r="F6" s="1">
        <f>Bottom!G6</f>
        <v>0.192</v>
      </c>
      <c r="L6" s="1" t="s">
        <v>7</v>
      </c>
      <c r="M6" s="1">
        <f>Top!P6</f>
        <v>-0.29399999999999998</v>
      </c>
      <c r="N6" s="1">
        <f>Middle!P6</f>
        <v>-0.23</v>
      </c>
      <c r="O6" s="1">
        <f>Bottom!P6</f>
        <v>-0.27100000000000002</v>
      </c>
    </row>
    <row r="7" spans="3:15" x14ac:dyDescent="0.35">
      <c r="C7" s="1" t="s">
        <v>8</v>
      </c>
      <c r="D7" s="1">
        <f>Top!G7</f>
        <v>765</v>
      </c>
      <c r="E7" s="1">
        <f>Middle!G7</f>
        <v>788</v>
      </c>
      <c r="F7" s="1">
        <f>Bottom!G7</f>
        <v>761</v>
      </c>
      <c r="L7" s="1" t="s">
        <v>8</v>
      </c>
      <c r="M7" s="1">
        <f>Top!P7</f>
        <v>925</v>
      </c>
      <c r="N7" s="1">
        <f>Middle!P7</f>
        <v>960</v>
      </c>
      <c r="O7" s="1">
        <f>Bottom!P7</f>
        <v>927</v>
      </c>
    </row>
    <row r="8" spans="3:15" x14ac:dyDescent="0.35">
      <c r="C8" s="1" t="s">
        <v>9</v>
      </c>
      <c r="D8" s="1">
        <f>Top!G8</f>
        <v>4.3780000000000001</v>
      </c>
      <c r="E8" s="1">
        <f>Middle!G8</f>
        <v>4.2539999999999996</v>
      </c>
      <c r="F8" s="1">
        <f>Bottom!G8</f>
        <v>4.4530000000000003</v>
      </c>
      <c r="L8" s="1" t="s">
        <v>9</v>
      </c>
      <c r="M8" s="1">
        <f>Top!P8</f>
        <v>4.4729999999999999</v>
      </c>
      <c r="N8" s="1">
        <f>Middle!P8</f>
        <v>4.45</v>
      </c>
      <c r="O8" s="1">
        <f>Bottom!P8</f>
        <v>4.8010000000000002</v>
      </c>
    </row>
    <row r="9" spans="3:15" ht="16.600000000000001" x14ac:dyDescent="0.45">
      <c r="C9" s="1" t="s">
        <v>10</v>
      </c>
      <c r="D9" s="1">
        <f>Top!G9</f>
        <v>3.7183308416609475</v>
      </c>
      <c r="E9" s="1">
        <f>Middle!G9</f>
        <v>3.6130149384252328</v>
      </c>
      <c r="F9" s="1">
        <f>Bottom!G9</f>
        <v>3.7820299766825491</v>
      </c>
      <c r="L9" s="1" t="s">
        <v>10</v>
      </c>
      <c r="M9" s="1">
        <f>Top!P9</f>
        <v>3.7990164126883093</v>
      </c>
      <c r="N9" s="1">
        <f>Middle!P9</f>
        <v>3.7794820112816851</v>
      </c>
      <c r="O9" s="1">
        <f>Bottom!P9</f>
        <v>4.07759396318278</v>
      </c>
    </row>
    <row r="10" spans="3:15" ht="16.600000000000001" x14ac:dyDescent="0.45">
      <c r="C10" s="1" t="s">
        <v>11</v>
      </c>
      <c r="D10" s="1">
        <f>Top!G10</f>
        <v>77.425330734960227</v>
      </c>
      <c r="E10" s="1">
        <f>Middle!G10</f>
        <v>73.101539950390432</v>
      </c>
      <c r="F10" s="1">
        <f>Bottom!G10</f>
        <v>80.100816858788832</v>
      </c>
      <c r="L10" s="1" t="s">
        <v>11</v>
      </c>
      <c r="M10" s="1">
        <f>Top!P10</f>
        <v>80.821954944812873</v>
      </c>
      <c r="N10" s="1">
        <f>Middle!P10</f>
        <v>79.992924873915342</v>
      </c>
      <c r="O10" s="1">
        <f>Bottom!P10</f>
        <v>93.109708429073308</v>
      </c>
    </row>
    <row r="11" spans="3:15" x14ac:dyDescent="0.35">
      <c r="C11" s="1" t="s">
        <v>12</v>
      </c>
      <c r="D11" s="1">
        <f>Top!G11</f>
        <v>154.85066146992045</v>
      </c>
      <c r="E11" s="1">
        <f>Middle!G11</f>
        <v>146.20307990078086</v>
      </c>
      <c r="F11" s="1">
        <f>Bottom!G11</f>
        <v>160.20163371757766</v>
      </c>
      <c r="L11" s="1" t="s">
        <v>12</v>
      </c>
      <c r="M11" s="1">
        <f>Top!P11</f>
        <v>161.64390988962575</v>
      </c>
      <c r="N11" s="1">
        <f>Middle!P11</f>
        <v>159.98584974783068</v>
      </c>
      <c r="O11" s="1">
        <f>Bottom!P11</f>
        <v>186.21941685814662</v>
      </c>
    </row>
    <row r="12" spans="3:15" ht="16.600000000000001" x14ac:dyDescent="0.45">
      <c r="C12" s="1" t="s">
        <v>13</v>
      </c>
      <c r="D12" s="1">
        <f>Top!G12</f>
        <v>7.436661683321895</v>
      </c>
      <c r="E12" s="1">
        <f>Middle!G12</f>
        <v>7.2260298768504656</v>
      </c>
      <c r="F12" s="1">
        <f>Bottom!G12</f>
        <v>7.5640599533650983</v>
      </c>
      <c r="L12" s="1" t="s">
        <v>13</v>
      </c>
      <c r="M12" s="1">
        <f>Top!P12</f>
        <v>7.5980328253766185</v>
      </c>
      <c r="N12" s="1">
        <f>Middle!P12</f>
        <v>7.5589640225633703</v>
      </c>
      <c r="O12" s="1">
        <f>Bottom!P12</f>
        <v>8.15518792636556</v>
      </c>
    </row>
    <row r="13" spans="3:15" x14ac:dyDescent="0.35">
      <c r="C13" s="1" t="s">
        <v>14</v>
      </c>
      <c r="D13" s="1">
        <f>Top!G13</f>
        <v>6.3872894987532139E-2</v>
      </c>
      <c r="E13" s="1">
        <f>Middle!G13</f>
        <v>6.57347283158006E-2</v>
      </c>
      <c r="F13" s="1">
        <f>Bottom!G13</f>
        <v>6.279711076923776E-2</v>
      </c>
      <c r="L13" s="1" t="s">
        <v>14</v>
      </c>
      <c r="M13" s="1">
        <f>Top!P13</f>
        <v>6.2516327801344904E-2</v>
      </c>
      <c r="N13" s="1">
        <f>Middle!P13</f>
        <v>6.2839445900093424E-2</v>
      </c>
      <c r="O13" s="1">
        <f>Bottom!P13</f>
        <v>5.8245268538932665E-2</v>
      </c>
    </row>
    <row r="18" spans="3:15" x14ac:dyDescent="0.35">
      <c r="D18" s="13" t="s">
        <v>15</v>
      </c>
      <c r="E18" s="13"/>
      <c r="F18" s="13"/>
      <c r="M18" s="13" t="s">
        <v>16</v>
      </c>
      <c r="N18" s="13"/>
      <c r="O18" s="13"/>
    </row>
    <row r="19" spans="3:15" x14ac:dyDescent="0.35">
      <c r="D19" s="7" t="s">
        <v>17</v>
      </c>
      <c r="E19" s="8" t="s">
        <v>18</v>
      </c>
      <c r="F19" s="8" t="s">
        <v>19</v>
      </c>
      <c r="M19" s="7" t="s">
        <v>17</v>
      </c>
      <c r="N19" s="8" t="s">
        <v>18</v>
      </c>
      <c r="O19" s="8" t="s">
        <v>19</v>
      </c>
    </row>
    <row r="20" spans="3:15" x14ac:dyDescent="0.35">
      <c r="C20" s="1" t="s">
        <v>7</v>
      </c>
      <c r="D20" s="1">
        <f>Top!G18</f>
        <v>4.7E-2</v>
      </c>
      <c r="E20" s="1">
        <f>Middle!G18</f>
        <v>9.6000000000000002E-2</v>
      </c>
      <c r="F20" s="1">
        <f>Bottom!G18</f>
        <v>0.19600000000000001</v>
      </c>
      <c r="L20" s="1" t="s">
        <v>7</v>
      </c>
      <c r="M20" s="1">
        <f>Top!P18</f>
        <v>-0.312</v>
      </c>
      <c r="N20" s="1">
        <f>Middle!P18</f>
        <v>-0.252</v>
      </c>
      <c r="O20" s="1">
        <f>Bottom!P18</f>
        <v>-0.217</v>
      </c>
    </row>
    <row r="21" spans="3:15" x14ac:dyDescent="0.35">
      <c r="C21" s="1" t="s">
        <v>8</v>
      </c>
      <c r="D21" s="1">
        <f>Top!G19</f>
        <v>768</v>
      </c>
      <c r="E21" s="1">
        <f>Middle!G19</f>
        <v>779</v>
      </c>
      <c r="F21" s="1">
        <f>Bottom!G19</f>
        <v>759</v>
      </c>
      <c r="L21" s="1" t="s">
        <v>8</v>
      </c>
      <c r="M21" s="1">
        <f>Top!P19</f>
        <v>944</v>
      </c>
      <c r="N21" s="1">
        <f>Middle!P19</f>
        <v>980</v>
      </c>
      <c r="O21" s="1">
        <f>Bottom!P19</f>
        <v>921</v>
      </c>
    </row>
    <row r="22" spans="3:15" x14ac:dyDescent="0.35">
      <c r="C22" s="1" t="s">
        <v>9</v>
      </c>
      <c r="D22" s="1">
        <f>Top!G20</f>
        <v>4.1479999999999997</v>
      </c>
      <c r="E22" s="1">
        <f>Middle!G20</f>
        <v>4.274</v>
      </c>
      <c r="F22" s="1">
        <f>Bottom!G20</f>
        <v>4.6459999999999999</v>
      </c>
      <c r="L22" s="1" t="s">
        <v>9</v>
      </c>
      <c r="M22" s="1">
        <f>Top!P20</f>
        <v>4.6159999999999997</v>
      </c>
      <c r="N22" s="1">
        <f>Middle!P20</f>
        <v>4.6630000000000003</v>
      </c>
      <c r="O22" s="1">
        <f>Bottom!P20</f>
        <v>5.1879999999999997</v>
      </c>
    </row>
    <row r="23" spans="3:15" ht="16.600000000000001" x14ac:dyDescent="0.45">
      <c r="C23" s="1" t="s">
        <v>10</v>
      </c>
      <c r="D23" s="1">
        <f>Top!G21</f>
        <v>3.5229868275947029</v>
      </c>
      <c r="E23" s="1">
        <f>Middle!G21</f>
        <v>3.6300013744309934</v>
      </c>
      <c r="F23" s="1">
        <f>Bottom!G21</f>
        <v>3.9459490841381366</v>
      </c>
      <c r="L23" s="1" t="s">
        <v>10</v>
      </c>
      <c r="M23" s="1">
        <f>Top!P21</f>
        <v>3.9204694301294958</v>
      </c>
      <c r="N23" s="1">
        <f>Middle!P21</f>
        <v>3.9603875547430332</v>
      </c>
      <c r="O23" s="1">
        <f>Bottom!P21</f>
        <v>4.4062814998942423</v>
      </c>
    </row>
    <row r="24" spans="3:15" ht="16.600000000000001" x14ac:dyDescent="0.45">
      <c r="C24" s="1" t="s">
        <v>11</v>
      </c>
      <c r="D24" s="1">
        <f>Top!G22</f>
        <v>69.503880119166723</v>
      </c>
      <c r="E24" s="1">
        <f>Middle!G22</f>
        <v>73.79052332453486</v>
      </c>
      <c r="F24" s="1">
        <f>Bottom!G22</f>
        <v>87.194675478738674</v>
      </c>
      <c r="L24" s="1" t="s">
        <v>11</v>
      </c>
      <c r="M24" s="1">
        <f>Top!P22</f>
        <v>86.072249820086157</v>
      </c>
      <c r="N24" s="1">
        <f>Middle!P22</f>
        <v>87.83394427510639</v>
      </c>
      <c r="O24" s="1">
        <f>Bottom!P22</f>
        <v>108.72551902777867</v>
      </c>
    </row>
    <row r="25" spans="3:15" x14ac:dyDescent="0.35">
      <c r="C25" s="1" t="s">
        <v>12</v>
      </c>
      <c r="D25" s="1">
        <f>Top!G23</f>
        <v>139.00776023833345</v>
      </c>
      <c r="E25" s="1">
        <f>Middle!G23</f>
        <v>147.58104664906972</v>
      </c>
      <c r="F25" s="1">
        <f>Bottom!G23</f>
        <v>174.38935095747735</v>
      </c>
      <c r="L25" s="1" t="s">
        <v>12</v>
      </c>
      <c r="M25" s="1">
        <f>Top!P23</f>
        <v>172.14449964017231</v>
      </c>
      <c r="N25" s="1">
        <f>Middle!P23</f>
        <v>175.66788855021278</v>
      </c>
      <c r="O25" s="1">
        <f>Bottom!P23</f>
        <v>217.45103805555735</v>
      </c>
    </row>
    <row r="26" spans="3:15" ht="16.600000000000001" x14ac:dyDescent="0.45">
      <c r="C26" s="1" t="s">
        <v>13</v>
      </c>
      <c r="D26" s="1">
        <f>Top!G24</f>
        <v>7.0459736551894059</v>
      </c>
      <c r="E26" s="1">
        <f>Middle!G24</f>
        <v>7.2600027488619867</v>
      </c>
      <c r="F26" s="1">
        <f>Bottom!G24</f>
        <v>7.8918981682762732</v>
      </c>
      <c r="L26" s="1" t="s">
        <v>13</v>
      </c>
      <c r="M26" s="1">
        <f>Top!P24</f>
        <v>7.8409388602589916</v>
      </c>
      <c r="N26" s="1">
        <f>Middle!P24</f>
        <v>7.9207751094860663</v>
      </c>
      <c r="O26" s="1">
        <f>Bottom!P24</f>
        <v>8.8125629997884847</v>
      </c>
    </row>
    <row r="27" spans="3:15" x14ac:dyDescent="0.35">
      <c r="C27" s="1" t="s">
        <v>14</v>
      </c>
      <c r="D27" s="1">
        <f>Top!G25</f>
        <v>6.7414545384622895E-2</v>
      </c>
      <c r="E27" s="1">
        <f>Middle!G25</f>
        <v>6.5427125469212866E-2</v>
      </c>
      <c r="F27" s="1">
        <f>Bottom!G25</f>
        <v>6.0188449043352507E-2</v>
      </c>
      <c r="L27" s="1" t="s">
        <v>14</v>
      </c>
      <c r="M27" s="1">
        <f>Top!P25</f>
        <v>6.0579621805765982E-2</v>
      </c>
      <c r="N27" s="1">
        <f>Middle!P25</f>
        <v>5.99690187122916E-2</v>
      </c>
      <c r="O27" s="1">
        <f>Bottom!P25</f>
        <v>5.3900449933580528E-2</v>
      </c>
    </row>
  </sheetData>
  <mergeCells count="4">
    <mergeCell ref="D4:F4"/>
    <mergeCell ref="M4:O4"/>
    <mergeCell ref="D18:F18"/>
    <mergeCell ref="M18:O18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4:O27"/>
  <sheetViews>
    <sheetView workbookViewId="0">
      <selection activeCell="O36" sqref="O36"/>
    </sheetView>
  </sheetViews>
  <sheetFormatPr defaultRowHeight="14.5" x14ac:dyDescent="0.35"/>
  <cols>
    <col min="3" max="3" width="13.1796875" customWidth="1"/>
    <col min="12" max="12" width="11.81640625" customWidth="1"/>
  </cols>
  <sheetData>
    <row r="4" spans="3:15" x14ac:dyDescent="0.35">
      <c r="D4" s="13" t="s">
        <v>0</v>
      </c>
      <c r="E4" s="13"/>
      <c r="F4" s="13"/>
      <c r="M4" s="13" t="s">
        <v>1</v>
      </c>
      <c r="N4" s="13"/>
      <c r="O4" s="13"/>
    </row>
    <row r="5" spans="3:15" x14ac:dyDescent="0.35">
      <c r="D5" s="7" t="s">
        <v>17</v>
      </c>
      <c r="E5" s="8" t="s">
        <v>18</v>
      </c>
      <c r="F5" s="8" t="s">
        <v>19</v>
      </c>
      <c r="M5" s="7" t="s">
        <v>17</v>
      </c>
      <c r="N5" s="8" t="s">
        <v>18</v>
      </c>
      <c r="O5" s="8" t="s">
        <v>19</v>
      </c>
    </row>
    <row r="6" spans="3:15" x14ac:dyDescent="0.35">
      <c r="C6" s="1" t="s">
        <v>7</v>
      </c>
      <c r="D6" s="1">
        <f>Top!H6</f>
        <v>0.19800000000000001</v>
      </c>
      <c r="E6" s="1">
        <f>Middle!H6</f>
        <v>0.316</v>
      </c>
      <c r="F6" s="1">
        <f>Bottom!H6</f>
        <v>0.34300000000000003</v>
      </c>
      <c r="L6" s="1" t="s">
        <v>7</v>
      </c>
      <c r="M6" s="1">
        <f>Top!Q6</f>
        <v>-0.157</v>
      </c>
      <c r="N6" s="1">
        <f>Middle!Q6</f>
        <v>-7.0999999999999994E-2</v>
      </c>
      <c r="O6" s="1">
        <f>Bottom!Q6</f>
        <v>-6.3E-2</v>
      </c>
    </row>
    <row r="7" spans="3:15" x14ac:dyDescent="0.35">
      <c r="C7" s="1" t="s">
        <v>8</v>
      </c>
      <c r="D7" s="1">
        <f>Top!H7</f>
        <v>866</v>
      </c>
      <c r="E7" s="1">
        <f>Middle!H7</f>
        <v>884</v>
      </c>
      <c r="F7" s="1">
        <f>Bottom!H7</f>
        <v>861</v>
      </c>
      <c r="L7" s="1" t="s">
        <v>8</v>
      </c>
      <c r="M7" s="1">
        <f>Top!Q7</f>
        <v>1030</v>
      </c>
      <c r="N7" s="1">
        <f>Middle!Q7</f>
        <v>1053</v>
      </c>
      <c r="O7" s="1">
        <f>Bottom!Q7</f>
        <v>1033</v>
      </c>
    </row>
    <row r="8" spans="3:15" x14ac:dyDescent="0.35">
      <c r="C8" s="1" t="s">
        <v>9</v>
      </c>
      <c r="D8" s="1">
        <f>Top!H8</f>
        <v>4.2460000000000004</v>
      </c>
      <c r="E8" s="1">
        <f>Middle!H8</f>
        <v>4.1520000000000001</v>
      </c>
      <c r="F8" s="1">
        <f>Bottom!H8</f>
        <v>4.3650000000000002</v>
      </c>
      <c r="L8" s="1" t="s">
        <v>9</v>
      </c>
      <c r="M8" s="1">
        <f>Top!Q8</f>
        <v>4.6070000000000002</v>
      </c>
      <c r="N8" s="1">
        <f>Middle!Q8</f>
        <v>4.8220000000000001</v>
      </c>
      <c r="O8" s="1">
        <f>Bottom!Q8</f>
        <v>4.4290000000000003</v>
      </c>
    </row>
    <row r="9" spans="3:15" ht="16.600000000000001" x14ac:dyDescent="0.45">
      <c r="C9" s="1" t="s">
        <v>10</v>
      </c>
      <c r="D9" s="1">
        <f>Top!H9</f>
        <v>3.6062203640229291</v>
      </c>
      <c r="E9" s="1">
        <f>Middle!H9</f>
        <v>3.5263841147958552</v>
      </c>
      <c r="F9" s="1">
        <f>Bottom!H9</f>
        <v>3.7072896582572032</v>
      </c>
      <c r="L9" s="1" t="s">
        <v>10</v>
      </c>
      <c r="M9" s="1">
        <f>Top!Q9</f>
        <v>3.9128255339269038</v>
      </c>
      <c r="N9" s="1">
        <f>Middle!Q9</f>
        <v>4.095429720988828</v>
      </c>
      <c r="O9" s="1">
        <f>Bottom!Q9</f>
        <v>3.7072896582572032</v>
      </c>
    </row>
    <row r="10" spans="3:15" ht="16.600000000000001" x14ac:dyDescent="0.45">
      <c r="C10" s="1" t="s">
        <v>11</v>
      </c>
      <c r="D10" s="1">
        <f>Top!H10</f>
        <v>63.837286980229557</v>
      </c>
      <c r="E10" s="1">
        <f>Middle!H10</f>
        <v>61.042053008135731</v>
      </c>
      <c r="F10" s="1">
        <f>Bottom!H10</f>
        <v>67.465685596301114</v>
      </c>
      <c r="L10" s="1" t="s">
        <v>11</v>
      </c>
      <c r="M10" s="1">
        <f>Top!Q10</f>
        <v>75.153786468628155</v>
      </c>
      <c r="N10" s="1">
        <f>Middle!Q10</f>
        <v>82.332035774969597</v>
      </c>
      <c r="O10" s="1">
        <f>Bottom!Q10</f>
        <v>67.465685596301114</v>
      </c>
    </row>
    <row r="11" spans="3:15" x14ac:dyDescent="0.35">
      <c r="C11" s="1" t="s">
        <v>12</v>
      </c>
      <c r="D11" s="1">
        <f>Top!H11</f>
        <v>127.67457396045911</v>
      </c>
      <c r="E11" s="1">
        <f>Middle!H11</f>
        <v>122.08410601627146</v>
      </c>
      <c r="F11" s="1">
        <f>Bottom!H11</f>
        <v>134.93137119260223</v>
      </c>
      <c r="L11" s="1" t="s">
        <v>12</v>
      </c>
      <c r="M11" s="1">
        <f>Top!Q11</f>
        <v>150.30757293725631</v>
      </c>
      <c r="N11" s="1">
        <f>Middle!Q11</f>
        <v>164.66407154993919</v>
      </c>
      <c r="O11" s="1">
        <f>Bottom!Q11</f>
        <v>134.93137119260223</v>
      </c>
    </row>
    <row r="12" spans="3:15" ht="16.600000000000001" x14ac:dyDescent="0.45">
      <c r="C12" s="1" t="s">
        <v>13</v>
      </c>
      <c r="D12" s="1">
        <f>Top!H12</f>
        <v>7.2124407280458582</v>
      </c>
      <c r="E12" s="1">
        <f>Middle!H12</f>
        <v>7.0527682295917105</v>
      </c>
      <c r="F12" s="1">
        <f>Bottom!H12</f>
        <v>7.4145793165144065</v>
      </c>
      <c r="L12" s="1" t="s">
        <v>13</v>
      </c>
      <c r="M12" s="1">
        <f>Top!Q12</f>
        <v>7.8256510678538076</v>
      </c>
      <c r="N12" s="1">
        <f>Middle!Q12</f>
        <v>8.1908594419776559</v>
      </c>
      <c r="O12" s="1">
        <f>Bottom!Q12</f>
        <v>7.4145793165144065</v>
      </c>
    </row>
    <row r="13" spans="3:15" x14ac:dyDescent="0.35">
      <c r="C13" s="1" t="s">
        <v>14</v>
      </c>
      <c r="D13" s="1">
        <f>Top!H13</f>
        <v>7.5132783848347193E-2</v>
      </c>
      <c r="E13" s="1">
        <f>Middle!H13</f>
        <v>7.6833766912351192E-2</v>
      </c>
      <c r="F13" s="1">
        <f>Bottom!H13</f>
        <v>7.3084490313879077E-2</v>
      </c>
      <c r="L13" s="1" t="s">
        <v>14</v>
      </c>
      <c r="M13" s="1">
        <f>Top!Q13</f>
        <v>6.924545261994404E-2</v>
      </c>
      <c r="N13" s="1">
        <f>Middle!Q13</f>
        <v>6.6157984284546278E-2</v>
      </c>
      <c r="O13" s="1">
        <f>Bottom!Q13</f>
        <v>7.3084490313879077E-2</v>
      </c>
    </row>
    <row r="18" spans="3:15" x14ac:dyDescent="0.35">
      <c r="D18" s="13" t="s">
        <v>15</v>
      </c>
      <c r="E18" s="13"/>
      <c r="F18" s="13"/>
      <c r="M18" s="13" t="s">
        <v>16</v>
      </c>
      <c r="N18" s="13"/>
      <c r="O18" s="13"/>
    </row>
    <row r="19" spans="3:15" x14ac:dyDescent="0.35">
      <c r="D19" s="7" t="s">
        <v>17</v>
      </c>
      <c r="E19" s="8" t="s">
        <v>18</v>
      </c>
      <c r="F19" s="8" t="s">
        <v>19</v>
      </c>
      <c r="M19" s="7" t="s">
        <v>17</v>
      </c>
      <c r="N19" s="8" t="s">
        <v>18</v>
      </c>
      <c r="O19" s="8" t="s">
        <v>19</v>
      </c>
    </row>
    <row r="20" spans="3:15" x14ac:dyDescent="0.35">
      <c r="C20" s="1" t="s">
        <v>7</v>
      </c>
      <c r="D20" s="1">
        <f>Top!H18</f>
        <v>0.2</v>
      </c>
      <c r="E20" s="1">
        <f>Middle!H18</f>
        <v>0.29899999999999999</v>
      </c>
      <c r="F20" s="1">
        <f>Bottom!H18</f>
        <v>0.34399999999999997</v>
      </c>
      <c r="L20" s="1" t="s">
        <v>7</v>
      </c>
      <c r="M20" s="1">
        <f>Top!Q18</f>
        <v>-0.154</v>
      </c>
      <c r="N20" s="1">
        <f>Middle!Q18</f>
        <v>-8.4000000000000005E-2</v>
      </c>
      <c r="O20" s="1">
        <f>Bottom!Q18</f>
        <v>-0.06</v>
      </c>
    </row>
    <row r="21" spans="3:15" x14ac:dyDescent="0.35">
      <c r="C21" s="1" t="s">
        <v>8</v>
      </c>
      <c r="D21" s="1">
        <f>Top!H19</f>
        <v>865</v>
      </c>
      <c r="E21" s="1">
        <f>Middle!H19</f>
        <v>887</v>
      </c>
      <c r="F21" s="1">
        <f>Bottom!H19</f>
        <v>863</v>
      </c>
      <c r="L21" s="1" t="s">
        <v>8</v>
      </c>
      <c r="M21" s="1">
        <f>Top!Q19</f>
        <v>1027</v>
      </c>
      <c r="N21" s="1">
        <f>Middle!Q19</f>
        <v>1055</v>
      </c>
      <c r="O21" s="1">
        <f>Bottom!Q19</f>
        <v>1033</v>
      </c>
    </row>
    <row r="22" spans="3:15" x14ac:dyDescent="0.35">
      <c r="C22" s="1" t="s">
        <v>9</v>
      </c>
      <c r="D22" s="1">
        <f>Top!H20</f>
        <v>4.2759999999999998</v>
      </c>
      <c r="E22" s="1">
        <f>Middle!H20</f>
        <v>4.2050000000000001</v>
      </c>
      <c r="F22" s="1">
        <f>Bottom!H20</f>
        <v>4.5579999999999998</v>
      </c>
      <c r="L22" s="1" t="s">
        <v>9</v>
      </c>
      <c r="M22" s="1">
        <f>Top!Q20</f>
        <v>4.3520000000000003</v>
      </c>
      <c r="N22" s="1">
        <f>Middle!Q20</f>
        <v>4.4560000000000004</v>
      </c>
      <c r="O22" s="1">
        <f>Bottom!Q20</f>
        <v>4.234</v>
      </c>
    </row>
    <row r="23" spans="3:15" ht="16.600000000000001" x14ac:dyDescent="0.45">
      <c r="C23" s="1" t="s">
        <v>10</v>
      </c>
      <c r="D23" s="1">
        <f>Top!H21</f>
        <v>3.6317000180315695</v>
      </c>
      <c r="E23" s="1">
        <f>Middle!H21</f>
        <v>3.5713981702111202</v>
      </c>
      <c r="F23" s="1">
        <f>Bottom!H21</f>
        <v>3.8712087657127907</v>
      </c>
      <c r="L23" s="1" t="s">
        <v>10</v>
      </c>
      <c r="M23" s="1">
        <f>Top!Q21</f>
        <v>3.6962484748534594</v>
      </c>
      <c r="N23" s="1">
        <f>Middle!Q21</f>
        <v>3.7845779420834131</v>
      </c>
      <c r="O23" s="1">
        <f>Bottom!Q21</f>
        <v>3.5960285024194727</v>
      </c>
    </row>
    <row r="24" spans="3:15" ht="16.600000000000001" x14ac:dyDescent="0.45">
      <c r="C24" s="1" t="s">
        <v>11</v>
      </c>
      <c r="D24" s="1">
        <f>Top!H22</f>
        <v>64.742555100432313</v>
      </c>
      <c r="E24" s="1">
        <f>Middle!H22</f>
        <v>62.610394794368737</v>
      </c>
      <c r="F24" s="1">
        <f>Bottom!H22</f>
        <v>73.563618535587153</v>
      </c>
      <c r="L24" s="1" t="s">
        <v>11</v>
      </c>
      <c r="M24" s="1">
        <f>Top!Q22</f>
        <v>67.064426546588635</v>
      </c>
      <c r="N24" s="1">
        <f>Middle!Q22</f>
        <v>70.30801008208725</v>
      </c>
      <c r="O24" s="1">
        <f>Bottom!Q22</f>
        <v>63.47696434895429</v>
      </c>
    </row>
    <row r="25" spans="3:15" x14ac:dyDescent="0.35">
      <c r="C25" s="1" t="s">
        <v>12</v>
      </c>
      <c r="D25" s="1">
        <f>Top!H23</f>
        <v>129.48511020086463</v>
      </c>
      <c r="E25" s="1">
        <f>Middle!H23</f>
        <v>125.22078958873747</v>
      </c>
      <c r="F25" s="1">
        <f>Bottom!H23</f>
        <v>147.12723707117431</v>
      </c>
      <c r="L25" s="1" t="s">
        <v>12</v>
      </c>
      <c r="M25" s="1">
        <f>Top!Q23</f>
        <v>134.12885309317727</v>
      </c>
      <c r="N25" s="1">
        <f>Middle!Q23</f>
        <v>140.6160201641745</v>
      </c>
      <c r="O25" s="1">
        <f>Bottom!Q23</f>
        <v>126.95392869790858</v>
      </c>
    </row>
    <row r="26" spans="3:15" ht="16.600000000000001" x14ac:dyDescent="0.45">
      <c r="C26" s="1" t="s">
        <v>13</v>
      </c>
      <c r="D26" s="1">
        <f>Top!H24</f>
        <v>7.263400036063139</v>
      </c>
      <c r="E26" s="1">
        <f>Middle!H24</f>
        <v>7.1427963404222403</v>
      </c>
      <c r="F26" s="1">
        <f>Bottom!H24</f>
        <v>7.7424175314255814</v>
      </c>
      <c r="L26" s="1" t="s">
        <v>13</v>
      </c>
      <c r="M26" s="1">
        <f>Top!Q24</f>
        <v>7.3924969497069188</v>
      </c>
      <c r="N26" s="1">
        <f>Middle!Q24</f>
        <v>7.5691558841668263</v>
      </c>
      <c r="O26" s="1">
        <f>Bottom!Q24</f>
        <v>7.1920570048389454</v>
      </c>
    </row>
    <row r="27" spans="3:15" x14ac:dyDescent="0.35">
      <c r="C27" s="1" t="s">
        <v>14</v>
      </c>
      <c r="D27" s="1">
        <f>Top!H25</f>
        <v>7.4605659546324171E-2</v>
      </c>
      <c r="E27" s="1">
        <f>Middle!H25</f>
        <v>7.586535082522762E-2</v>
      </c>
      <c r="F27" s="1">
        <f>Bottom!H25</f>
        <v>6.9989864023712642E-2</v>
      </c>
      <c r="L27" s="1" t="s">
        <v>14</v>
      </c>
      <c r="M27" s="1">
        <f>Top!Q25</f>
        <v>7.3302803359393875E-2</v>
      </c>
      <c r="N27" s="1">
        <f>Middle!Q25</f>
        <v>7.1591965938079483E-2</v>
      </c>
      <c r="O27" s="1">
        <f>Bottom!Q25</f>
        <v>7.5345725134643882E-2</v>
      </c>
    </row>
  </sheetData>
  <mergeCells count="4">
    <mergeCell ref="D4:F4"/>
    <mergeCell ref="M4:O4"/>
    <mergeCell ref="D18:F18"/>
    <mergeCell ref="M18:O18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4:Q50"/>
  <sheetViews>
    <sheetView tabSelected="1" topLeftCell="B20" workbookViewId="0">
      <selection activeCell="K10" sqref="K10"/>
    </sheetView>
  </sheetViews>
  <sheetFormatPr defaultRowHeight="14.5" x14ac:dyDescent="0.35"/>
  <cols>
    <col min="4" max="4" width="12.453125" customWidth="1"/>
    <col min="5" max="5" width="14.26953125" customWidth="1"/>
    <col min="6" max="6" width="12.26953125" customWidth="1"/>
    <col min="14" max="14" width="11.26953125" customWidth="1"/>
    <col min="15" max="15" width="11.81640625" customWidth="1"/>
    <col min="16" max="16" width="11.453125" customWidth="1"/>
  </cols>
  <sheetData>
    <row r="4" spans="3:17" x14ac:dyDescent="0.35">
      <c r="D4" s="13" t="s">
        <v>0</v>
      </c>
      <c r="E4" s="13"/>
      <c r="F4" s="13"/>
      <c r="G4" s="13"/>
      <c r="N4" s="13" t="s">
        <v>1</v>
      </c>
      <c r="O4" s="13"/>
      <c r="P4" s="13"/>
      <c r="Q4" s="13"/>
    </row>
    <row r="5" spans="3:17" x14ac:dyDescent="0.35">
      <c r="D5" s="2" t="s">
        <v>2</v>
      </c>
      <c r="E5" s="4" t="s">
        <v>3</v>
      </c>
      <c r="F5" s="3" t="s">
        <v>4</v>
      </c>
      <c r="G5" s="5" t="s">
        <v>5</v>
      </c>
      <c r="N5" s="2" t="s">
        <v>2</v>
      </c>
      <c r="O5" s="4" t="s">
        <v>3</v>
      </c>
      <c r="P5" s="3" t="s">
        <v>4</v>
      </c>
      <c r="Q5" s="5" t="s">
        <v>5</v>
      </c>
    </row>
    <row r="6" spans="3:17" x14ac:dyDescent="0.35">
      <c r="C6" s="9" t="s">
        <v>17</v>
      </c>
      <c r="D6" s="1">
        <f>Top!E8</f>
        <v>5.6740000000000004</v>
      </c>
      <c r="E6" s="1">
        <f>Top!F8</f>
        <v>3.875</v>
      </c>
      <c r="F6" s="1">
        <f>Top!G8</f>
        <v>4.3780000000000001</v>
      </c>
      <c r="G6" s="1">
        <f>Top!H8</f>
        <v>4.2460000000000004</v>
      </c>
      <c r="M6" s="9" t="s">
        <v>17</v>
      </c>
      <c r="N6" s="1">
        <f>Top!N8</f>
        <v>4.7510000000000003</v>
      </c>
      <c r="O6" s="1">
        <f>Top!O8</f>
        <v>3.8050000000000002</v>
      </c>
      <c r="P6" s="1">
        <f>Top!P8</f>
        <v>4.4729999999999999</v>
      </c>
      <c r="Q6" s="1">
        <f>Top!Q8</f>
        <v>4.6070000000000002</v>
      </c>
    </row>
    <row r="7" spans="3:17" x14ac:dyDescent="0.35">
      <c r="C7" s="9" t="s">
        <v>18</v>
      </c>
      <c r="D7" s="1">
        <f>Middle!E8</f>
        <v>5.4409999999999998</v>
      </c>
      <c r="E7" s="1">
        <f>Middle!F8</f>
        <v>4.0060000000000002</v>
      </c>
      <c r="F7" s="1">
        <f>Middle!G8</f>
        <v>4.2539999999999996</v>
      </c>
      <c r="G7" s="1">
        <f>Middle!H8</f>
        <v>4.1520000000000001</v>
      </c>
      <c r="M7" s="9" t="s">
        <v>18</v>
      </c>
      <c r="N7" s="1">
        <f>Middle!N8</f>
        <v>5.3579999999999997</v>
      </c>
      <c r="O7" s="1">
        <f>Middle!O8</f>
        <v>3.8719999999999999</v>
      </c>
      <c r="P7" s="1">
        <f>Middle!P8</f>
        <v>4.45</v>
      </c>
      <c r="Q7" s="1">
        <f>Middle!Q8</f>
        <v>4.8220000000000001</v>
      </c>
    </row>
    <row r="8" spans="3:17" x14ac:dyDescent="0.35">
      <c r="C8" s="9" t="s">
        <v>19</v>
      </c>
      <c r="D8" s="1">
        <f>Bottom!E8</f>
        <v>4.7229999999999999</v>
      </c>
      <c r="E8" s="1">
        <f>Bottom!F8</f>
        <v>4.3310000000000004</v>
      </c>
      <c r="F8" s="1">
        <f>Bottom!G8</f>
        <v>4.4530000000000003</v>
      </c>
      <c r="G8" s="1">
        <f>Bottom!H8</f>
        <v>4.3650000000000002</v>
      </c>
      <c r="M8" s="9" t="s">
        <v>19</v>
      </c>
      <c r="N8" s="1">
        <f>Bottom!N8</f>
        <v>4.4329999999999998</v>
      </c>
      <c r="O8" s="1">
        <f>Bottom!O8</f>
        <v>3.964</v>
      </c>
      <c r="P8" s="1">
        <f>Bottom!P8</f>
        <v>4.8010000000000002</v>
      </c>
      <c r="Q8" s="1">
        <f>Bottom!Q8</f>
        <v>4.4290000000000003</v>
      </c>
    </row>
    <row r="9" spans="3:17" x14ac:dyDescent="0.35">
      <c r="C9" s="12"/>
    </row>
    <row r="10" spans="3:17" x14ac:dyDescent="0.35">
      <c r="C10" s="12"/>
    </row>
    <row r="13" spans="3:17" x14ac:dyDescent="0.35">
      <c r="D13" s="13" t="s">
        <v>15</v>
      </c>
      <c r="E13" s="13"/>
      <c r="F13" s="13"/>
      <c r="G13" s="13"/>
      <c r="N13" s="13" t="s">
        <v>16</v>
      </c>
      <c r="O13" s="13"/>
      <c r="P13" s="13"/>
      <c r="Q13" s="13"/>
    </row>
    <row r="14" spans="3:17" x14ac:dyDescent="0.35">
      <c r="D14" s="2" t="s">
        <v>2</v>
      </c>
      <c r="E14" s="4" t="s">
        <v>3</v>
      </c>
      <c r="F14" s="3" t="s">
        <v>4</v>
      </c>
      <c r="G14" s="5" t="s">
        <v>5</v>
      </c>
      <c r="N14" s="2" t="s">
        <v>2</v>
      </c>
      <c r="O14" s="4" t="s">
        <v>3</v>
      </c>
      <c r="P14" s="3" t="s">
        <v>4</v>
      </c>
      <c r="Q14" s="5" t="s">
        <v>5</v>
      </c>
    </row>
    <row r="15" spans="3:17" x14ac:dyDescent="0.35">
      <c r="C15" s="9" t="s">
        <v>17</v>
      </c>
      <c r="D15" s="1">
        <f>Top!E20</f>
        <v>3.7839999999999998</v>
      </c>
      <c r="E15" s="1">
        <f>Top!F20</f>
        <v>4.2460000000000004</v>
      </c>
      <c r="F15" s="1">
        <f>Top!G20</f>
        <v>4.1479999999999997</v>
      </c>
      <c r="G15" s="1">
        <f>Top!H20</f>
        <v>4.2759999999999998</v>
      </c>
      <c r="M15" s="9" t="s">
        <v>17</v>
      </c>
      <c r="N15" s="1">
        <f>Top!N20</f>
        <v>3.65</v>
      </c>
      <c r="O15" s="1">
        <f>Top!O20</f>
        <v>4.1100000000000003</v>
      </c>
      <c r="P15" s="1">
        <f>Top!P20</f>
        <v>4.6159999999999997</v>
      </c>
      <c r="Q15" s="1">
        <f>Top!Q20</f>
        <v>4.3520000000000003</v>
      </c>
    </row>
    <row r="16" spans="3:17" x14ac:dyDescent="0.35">
      <c r="C16" s="9" t="s">
        <v>18</v>
      </c>
      <c r="D16" s="1">
        <f>Middle!E20</f>
        <v>3.7080000000000002</v>
      </c>
      <c r="E16" s="1">
        <f>Middle!F20</f>
        <v>4.3470000000000004</v>
      </c>
      <c r="F16" s="1">
        <f>Middle!G20</f>
        <v>4.274</v>
      </c>
      <c r="G16" s="1">
        <f>Middle!H20</f>
        <v>4.2050000000000001</v>
      </c>
      <c r="M16" s="9" t="s">
        <v>18</v>
      </c>
      <c r="N16" s="1">
        <f>Middle!N20</f>
        <v>3.8380000000000001</v>
      </c>
      <c r="O16" s="1">
        <f>Middle!O20</f>
        <v>4.0090000000000003</v>
      </c>
      <c r="P16" s="1">
        <f>Middle!P20</f>
        <v>4.6630000000000003</v>
      </c>
      <c r="Q16" s="1">
        <f>Middle!Q20</f>
        <v>4.4560000000000004</v>
      </c>
    </row>
    <row r="17" spans="3:17" x14ac:dyDescent="0.35">
      <c r="C17" s="9" t="s">
        <v>19</v>
      </c>
      <c r="D17" s="1">
        <f>Bottom!E20</f>
        <v>3.72</v>
      </c>
      <c r="E17" s="1">
        <f>Bottom!F20</f>
        <v>4.7039999999999997</v>
      </c>
      <c r="F17" s="1">
        <f>Bottom!G20</f>
        <v>4.6459999999999999</v>
      </c>
      <c r="G17" s="1">
        <f>Bottom!H20</f>
        <v>4.5579999999999998</v>
      </c>
      <c r="M17" s="9" t="s">
        <v>19</v>
      </c>
      <c r="N17" s="1">
        <f>Bottom!N20</f>
        <v>3.7280000000000002</v>
      </c>
      <c r="O17" s="1">
        <f>Bottom!O20</f>
        <v>4.2370000000000001</v>
      </c>
      <c r="P17" s="1">
        <f>Bottom!P20</f>
        <v>5.1879999999999997</v>
      </c>
      <c r="Q17" s="1">
        <f>Bottom!Q20</f>
        <v>4.234</v>
      </c>
    </row>
    <row r="50" spans="14:14" x14ac:dyDescent="0.35">
      <c r="N50" t="s">
        <v>22</v>
      </c>
    </row>
  </sheetData>
  <mergeCells count="4">
    <mergeCell ref="D4:G4"/>
    <mergeCell ref="N4:Q4"/>
    <mergeCell ref="D13:G13"/>
    <mergeCell ref="N13:Q13"/>
  </mergeCells>
  <conditionalFormatting sqref="D6:G1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:G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6:Q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5:Q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4:Q17"/>
  <sheetViews>
    <sheetView topLeftCell="B8" workbookViewId="0">
      <selection activeCell="H11" sqref="H11"/>
    </sheetView>
  </sheetViews>
  <sheetFormatPr defaultRowHeight="14.5" x14ac:dyDescent="0.35"/>
  <cols>
    <col min="4" max="4" width="12.453125" customWidth="1"/>
    <col min="5" max="5" width="14.26953125" customWidth="1"/>
    <col min="6" max="6" width="12.26953125" customWidth="1"/>
    <col min="14" max="14" width="11.26953125" customWidth="1"/>
    <col min="15" max="15" width="11.81640625" customWidth="1"/>
    <col min="16" max="16" width="11.453125" customWidth="1"/>
  </cols>
  <sheetData>
    <row r="4" spans="3:17" x14ac:dyDescent="0.35">
      <c r="D4" s="13" t="s">
        <v>0</v>
      </c>
      <c r="E4" s="13"/>
      <c r="F4" s="13"/>
      <c r="G4" s="13"/>
      <c r="N4" s="13" t="s">
        <v>1</v>
      </c>
      <c r="O4" s="13"/>
      <c r="P4" s="13"/>
      <c r="Q4" s="13"/>
    </row>
    <row r="5" spans="3:17" x14ac:dyDescent="0.35">
      <c r="D5" s="2" t="s">
        <v>2</v>
      </c>
      <c r="E5" s="4" t="s">
        <v>3</v>
      </c>
      <c r="F5" s="3" t="s">
        <v>4</v>
      </c>
      <c r="G5" s="5" t="s">
        <v>5</v>
      </c>
      <c r="N5" s="2" t="s">
        <v>2</v>
      </c>
      <c r="O5" s="4" t="s">
        <v>3</v>
      </c>
      <c r="P5" s="3" t="s">
        <v>4</v>
      </c>
      <c r="Q5" s="5" t="s">
        <v>5</v>
      </c>
    </row>
    <row r="6" spans="3:17" x14ac:dyDescent="0.35">
      <c r="C6" s="9" t="s">
        <v>17</v>
      </c>
      <c r="D6" s="1">
        <f>Top!E11</f>
        <v>360.28655145033053</v>
      </c>
      <c r="E6" s="1">
        <f>Top!F11</f>
        <v>139.45946773488515</v>
      </c>
      <c r="F6" s="1">
        <f>Top!G11</f>
        <v>154.85066146992045</v>
      </c>
      <c r="G6" s="1">
        <f>Top!H11</f>
        <v>127.67457396045911</v>
      </c>
      <c r="M6" s="9" t="s">
        <v>17</v>
      </c>
      <c r="N6" s="1">
        <f>Top!N11</f>
        <v>252.60354976218161</v>
      </c>
      <c r="O6" s="1">
        <f>Top!O11</f>
        <v>134.4664414802821</v>
      </c>
      <c r="P6" s="1">
        <f>Top!P11</f>
        <v>161.64390988962575</v>
      </c>
      <c r="Q6" s="1">
        <f>Top!Q11</f>
        <v>150.30757293725631</v>
      </c>
    </row>
    <row r="7" spans="3:17" x14ac:dyDescent="0.35">
      <c r="C7" s="9" t="s">
        <v>18</v>
      </c>
      <c r="D7" s="1">
        <f>Middle!E11</f>
        <v>331.30412272563075</v>
      </c>
      <c r="E7" s="1">
        <f>Middle!F11</f>
        <v>149.04811213321295</v>
      </c>
      <c r="F7" s="1">
        <f>Middle!G11</f>
        <v>146.20307990078086</v>
      </c>
      <c r="G7" s="1">
        <f>Middle!H11</f>
        <v>122.08410601627146</v>
      </c>
      <c r="M7" s="9" t="s">
        <v>18</v>
      </c>
      <c r="N7" s="1">
        <f>Middle!N11</f>
        <v>321.27342779910703</v>
      </c>
      <c r="O7" s="1">
        <f>Middle!O11</f>
        <v>139.24361408313061</v>
      </c>
      <c r="P7" s="1">
        <f>Middle!P11</f>
        <v>159.98584974783068</v>
      </c>
      <c r="Q7" s="1">
        <f>Middle!Q11</f>
        <v>164.66407154993919</v>
      </c>
    </row>
    <row r="8" spans="3:17" x14ac:dyDescent="0.35">
      <c r="C8" s="9" t="s">
        <v>19</v>
      </c>
      <c r="D8" s="1">
        <f>Bottom!E11</f>
        <v>249.63488744232282</v>
      </c>
      <c r="E8" s="1">
        <f>Bottom!F11</f>
        <v>174.21315949650054</v>
      </c>
      <c r="F8" s="1">
        <f>Bottom!G11</f>
        <v>160.20163371757766</v>
      </c>
      <c r="G8" s="1">
        <f>Bottom!H11</f>
        <v>134.93137119260223</v>
      </c>
      <c r="M8" s="9" t="s">
        <v>19</v>
      </c>
      <c r="N8" s="1">
        <f>Bottom!N11</f>
        <v>219.92006289174202</v>
      </c>
      <c r="O8" s="1">
        <f>Bottom!O11</f>
        <v>145.93917312937026</v>
      </c>
      <c r="P8" s="1">
        <f>Bottom!P11</f>
        <v>186.21941685814662</v>
      </c>
      <c r="Q8" s="1">
        <f>Bottom!Q11</f>
        <v>134.93137119260223</v>
      </c>
    </row>
    <row r="13" spans="3:17" x14ac:dyDescent="0.35">
      <c r="D13" s="13" t="s">
        <v>15</v>
      </c>
      <c r="E13" s="13"/>
      <c r="F13" s="13"/>
      <c r="G13" s="13"/>
      <c r="N13" s="13" t="s">
        <v>16</v>
      </c>
      <c r="O13" s="13"/>
      <c r="P13" s="13"/>
      <c r="Q13" s="13"/>
    </row>
    <row r="14" spans="3:17" x14ac:dyDescent="0.35">
      <c r="D14" s="2" t="s">
        <v>2</v>
      </c>
      <c r="E14" s="4" t="s">
        <v>3</v>
      </c>
      <c r="F14" s="3" t="s">
        <v>4</v>
      </c>
      <c r="G14" s="5" t="s">
        <v>5</v>
      </c>
      <c r="N14" s="2" t="s">
        <v>2</v>
      </c>
      <c r="O14" s="4" t="s">
        <v>3</v>
      </c>
      <c r="P14" s="3" t="s">
        <v>4</v>
      </c>
      <c r="Q14" s="5" t="s">
        <v>5</v>
      </c>
    </row>
    <row r="15" spans="3:17" x14ac:dyDescent="0.35">
      <c r="C15" s="9" t="s">
        <v>17</v>
      </c>
      <c r="D15" s="1">
        <f>Top!E23</f>
        <v>160.24026108378959</v>
      </c>
      <c r="E15" s="1">
        <f>Top!F23</f>
        <v>167.44206421043819</v>
      </c>
      <c r="F15" s="1">
        <f>Top!G23</f>
        <v>139.00776023833345</v>
      </c>
      <c r="G15" s="1">
        <f>Top!H23</f>
        <v>129.48511020086463</v>
      </c>
      <c r="M15" s="9" t="s">
        <v>17</v>
      </c>
      <c r="N15" s="1">
        <f>Top!N23</f>
        <v>149.09226664072293</v>
      </c>
      <c r="O15" s="1">
        <f>Top!O23</f>
        <v>156.8874605568835</v>
      </c>
      <c r="P15" s="1">
        <f>Top!P23</f>
        <v>172.14449964017231</v>
      </c>
      <c r="Q15" s="1">
        <f>Top!Q23</f>
        <v>134.12885309317727</v>
      </c>
    </row>
    <row r="16" spans="3:17" x14ac:dyDescent="0.35">
      <c r="C16" s="9" t="s">
        <v>18</v>
      </c>
      <c r="D16" s="1">
        <f>Middle!E23</f>
        <v>153.86818798286302</v>
      </c>
      <c r="E16" s="1">
        <f>Middle!F23</f>
        <v>175.50272740832926</v>
      </c>
      <c r="F16" s="1">
        <f>Middle!G23</f>
        <v>147.58104664906972</v>
      </c>
      <c r="G16" s="1">
        <f>Middle!H23</f>
        <v>125.22078958873747</v>
      </c>
      <c r="M16" s="9" t="s">
        <v>18</v>
      </c>
      <c r="N16" s="1">
        <f>Middle!N23</f>
        <v>164.84634761725721</v>
      </c>
      <c r="O16" s="1">
        <f>Middle!O23</f>
        <v>149.27143303405362</v>
      </c>
      <c r="P16" s="1">
        <f>Middle!P23</f>
        <v>175.66788855021278</v>
      </c>
      <c r="Q16" s="1">
        <f>Middle!Q23</f>
        <v>140.6160201641745</v>
      </c>
    </row>
    <row r="17" spans="3:17" x14ac:dyDescent="0.35">
      <c r="C17" s="9" t="s">
        <v>19</v>
      </c>
      <c r="D17" s="1">
        <f>Bottom!E23</f>
        <v>154.8657100905221</v>
      </c>
      <c r="E17" s="1">
        <f>Bottom!F23</f>
        <v>205.51296063946242</v>
      </c>
      <c r="F17" s="1">
        <f>Bottom!G23</f>
        <v>174.38935095747735</v>
      </c>
      <c r="G17" s="1">
        <f>Bottom!H23</f>
        <v>147.12723707117431</v>
      </c>
      <c r="M17" s="9" t="s">
        <v>19</v>
      </c>
      <c r="N17" s="1">
        <f>Bottom!N23</f>
        <v>155.53251539099276</v>
      </c>
      <c r="O17" s="1">
        <f>Bottom!O23</f>
        <v>166.73298203882325</v>
      </c>
      <c r="P17" s="1">
        <f>Bottom!P23</f>
        <v>217.45103805555735</v>
      </c>
      <c r="Q17" s="1">
        <f>Bottom!Q23</f>
        <v>126.95392869790858</v>
      </c>
    </row>
  </sheetData>
  <mergeCells count="4">
    <mergeCell ref="D4:G4"/>
    <mergeCell ref="N4:Q4"/>
    <mergeCell ref="D13:G13"/>
    <mergeCell ref="N13:Q13"/>
  </mergeCells>
  <conditionalFormatting sqref="D6:G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:G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6:Q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5:Q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C4:Q17"/>
  <sheetViews>
    <sheetView topLeftCell="B1" workbookViewId="0">
      <selection activeCell="J53" sqref="J53"/>
    </sheetView>
  </sheetViews>
  <sheetFormatPr defaultRowHeight="14.5" x14ac:dyDescent="0.35"/>
  <cols>
    <col min="4" max="4" width="12.453125" customWidth="1"/>
    <col min="5" max="5" width="14.26953125" customWidth="1"/>
    <col min="6" max="6" width="12.26953125" customWidth="1"/>
    <col min="14" max="14" width="11.26953125" customWidth="1"/>
    <col min="15" max="15" width="11.81640625" customWidth="1"/>
    <col min="16" max="16" width="11.453125" customWidth="1"/>
  </cols>
  <sheetData>
    <row r="4" spans="3:17" x14ac:dyDescent="0.35">
      <c r="D4" s="13" t="s">
        <v>0</v>
      </c>
      <c r="E4" s="13"/>
      <c r="F4" s="13"/>
      <c r="G4" s="13"/>
      <c r="N4" s="13" t="s">
        <v>1</v>
      </c>
      <c r="O4" s="13"/>
      <c r="P4" s="13"/>
      <c r="Q4" s="13"/>
    </row>
    <row r="5" spans="3:17" x14ac:dyDescent="0.35">
      <c r="D5" s="2" t="s">
        <v>2</v>
      </c>
      <c r="E5" s="4" t="s">
        <v>3</v>
      </c>
      <c r="F5" s="3" t="s">
        <v>4</v>
      </c>
      <c r="G5" s="5" t="s">
        <v>5</v>
      </c>
      <c r="N5" s="2" t="s">
        <v>2</v>
      </c>
      <c r="O5" s="4" t="s">
        <v>3</v>
      </c>
      <c r="P5" s="3" t="s">
        <v>4</v>
      </c>
      <c r="Q5" s="5" t="s">
        <v>5</v>
      </c>
    </row>
    <row r="6" spans="3:17" x14ac:dyDescent="0.35">
      <c r="C6" s="9" t="s">
        <v>17</v>
      </c>
      <c r="D6" s="1">
        <f>Top!E12</f>
        <v>9.6381037896684418</v>
      </c>
      <c r="E6" s="1">
        <f>Top!F12</f>
        <v>6.5822439522321474</v>
      </c>
      <c r="F6" s="1">
        <f>Top!G12</f>
        <v>7.436661683321895</v>
      </c>
      <c r="G6" s="1">
        <f>Top!H12</f>
        <v>7.2124407280458582</v>
      </c>
      <c r="M6" s="9" t="s">
        <v>17</v>
      </c>
      <c r="N6" s="1">
        <f>Top!N12</f>
        <v>8.0702557463367572</v>
      </c>
      <c r="O6" s="1">
        <f>Top!O12</f>
        <v>6.4633389001918253</v>
      </c>
      <c r="P6" s="1">
        <f>Top!P12</f>
        <v>7.5980328253766185</v>
      </c>
      <c r="Q6" s="1">
        <f>Top!Q12</f>
        <v>7.8256510678538076</v>
      </c>
    </row>
    <row r="7" spans="3:17" x14ac:dyDescent="0.35">
      <c r="C7" s="9" t="s">
        <v>18</v>
      </c>
      <c r="D7" s="1">
        <f>Middle!E12</f>
        <v>9.2423198307342229</v>
      </c>
      <c r="E7" s="1">
        <f>Middle!F12</f>
        <v>6.8047662639076094</v>
      </c>
      <c r="F7" s="1">
        <f>Middle!G12</f>
        <v>7.2260298768504656</v>
      </c>
      <c r="G7" s="1">
        <f>Middle!H12</f>
        <v>7.0527682295917105</v>
      </c>
      <c r="M7" s="9" t="s">
        <v>18</v>
      </c>
      <c r="N7" s="1">
        <f>Middle!N12</f>
        <v>9.1013324118864123</v>
      </c>
      <c r="O7" s="1">
        <f>Middle!O12</f>
        <v>6.5771480214304194</v>
      </c>
      <c r="P7" s="1">
        <f>Middle!P12</f>
        <v>7.5589640225633703</v>
      </c>
      <c r="Q7" s="1">
        <f>Middle!Q12</f>
        <v>8.1908594419776559</v>
      </c>
    </row>
    <row r="8" spans="3:17" x14ac:dyDescent="0.35">
      <c r="C8" s="9" t="s">
        <v>19</v>
      </c>
      <c r="D8" s="1">
        <f>Bottom!E12</f>
        <v>8.022693725520627</v>
      </c>
      <c r="E8" s="1">
        <f>Bottom!F12</f>
        <v>7.356825434094822</v>
      </c>
      <c r="F8" s="1">
        <f>Bottom!G12</f>
        <v>7.5640599533650983</v>
      </c>
      <c r="G8" s="1">
        <f>Bottom!H12</f>
        <v>7.4145793165144065</v>
      </c>
      <c r="M8" s="9" t="s">
        <v>19</v>
      </c>
      <c r="N8" s="1">
        <f>Bottom!N12</f>
        <v>7.5300870813535763</v>
      </c>
      <c r="O8" s="1">
        <f>Bottom!O12</f>
        <v>6.7334232326834149</v>
      </c>
      <c r="P8" s="1">
        <f>Bottom!P12</f>
        <v>8.15518792636556</v>
      </c>
      <c r="Q8" s="1">
        <f>Bottom!Q12</f>
        <v>7.4145793165144065</v>
      </c>
    </row>
    <row r="13" spans="3:17" x14ac:dyDescent="0.35">
      <c r="D13" s="13" t="s">
        <v>15</v>
      </c>
      <c r="E13" s="13"/>
      <c r="F13" s="13"/>
      <c r="G13" s="13"/>
      <c r="N13" s="13" t="s">
        <v>16</v>
      </c>
      <c r="O13" s="13"/>
      <c r="P13" s="13"/>
      <c r="Q13" s="13"/>
    </row>
    <row r="14" spans="3:17" x14ac:dyDescent="0.35">
      <c r="D14" s="2" t="s">
        <v>2</v>
      </c>
      <c r="E14" s="4" t="s">
        <v>3</v>
      </c>
      <c r="F14" s="3" t="s">
        <v>4</v>
      </c>
      <c r="G14" s="5" t="s">
        <v>5</v>
      </c>
      <c r="N14" s="2" t="s">
        <v>2</v>
      </c>
      <c r="O14" s="4" t="s">
        <v>3</v>
      </c>
      <c r="P14" s="3" t="s">
        <v>4</v>
      </c>
      <c r="Q14" s="5" t="s">
        <v>5</v>
      </c>
    </row>
    <row r="15" spans="3:17" x14ac:dyDescent="0.35">
      <c r="C15" s="9" t="s">
        <v>17</v>
      </c>
      <c r="D15" s="1">
        <f>Top!E24</f>
        <v>6.4276673845797276</v>
      </c>
      <c r="E15" s="1">
        <f>Top!F24</f>
        <v>7.2124407280458582</v>
      </c>
      <c r="F15" s="1">
        <f>Top!G24</f>
        <v>7.0459736551894059</v>
      </c>
      <c r="G15" s="1">
        <f>Top!H24</f>
        <v>7.263400036063139</v>
      </c>
      <c r="M15" s="9" t="s">
        <v>17</v>
      </c>
      <c r="N15" s="1">
        <f>Top!N24</f>
        <v>6.2000491421025394</v>
      </c>
      <c r="O15" s="1">
        <f>Top!O24</f>
        <v>6.9814251983675168</v>
      </c>
      <c r="P15" s="1">
        <f>Top!P24</f>
        <v>7.8409388602589916</v>
      </c>
      <c r="Q15" s="1">
        <f>Top!Q24</f>
        <v>7.3924969497069188</v>
      </c>
    </row>
    <row r="16" spans="3:17" x14ac:dyDescent="0.35">
      <c r="C16" s="9" t="s">
        <v>18</v>
      </c>
      <c r="D16" s="1">
        <f>Middle!E24</f>
        <v>6.2985704709359496</v>
      </c>
      <c r="E16" s="1">
        <f>Middle!F24</f>
        <v>7.3840037317040386</v>
      </c>
      <c r="F16" s="1">
        <f>Middle!G24</f>
        <v>7.2600027488619867</v>
      </c>
      <c r="G16" s="1">
        <f>Middle!H24</f>
        <v>7.1427963404222403</v>
      </c>
      <c r="M16" s="9" t="s">
        <v>18</v>
      </c>
      <c r="N16" s="1">
        <f>Middle!N24</f>
        <v>6.5193941390108341</v>
      </c>
      <c r="O16" s="1">
        <f>Middle!O24</f>
        <v>6.8098621947093374</v>
      </c>
      <c r="P16" s="1">
        <f>Middle!P24</f>
        <v>7.9207751094860663</v>
      </c>
      <c r="Q16" s="1">
        <f>Middle!Q24</f>
        <v>7.5691558841668263</v>
      </c>
    </row>
    <row r="17" spans="3:17" x14ac:dyDescent="0.35">
      <c r="C17" s="9" t="s">
        <v>19</v>
      </c>
      <c r="D17" s="1">
        <f>Bottom!E24</f>
        <v>6.3189541941428624</v>
      </c>
      <c r="E17" s="1">
        <f>Bottom!F24</f>
        <v>7.9904194971096825</v>
      </c>
      <c r="F17" s="1">
        <f>Bottom!G24</f>
        <v>7.8918981682762732</v>
      </c>
      <c r="G17" s="1">
        <f>Bottom!H24</f>
        <v>7.7424175314255814</v>
      </c>
      <c r="M17" s="9" t="s">
        <v>19</v>
      </c>
      <c r="N17" s="1">
        <f>Bottom!N24</f>
        <v>6.3325433429474707</v>
      </c>
      <c r="O17" s="1">
        <f>Bottom!O24</f>
        <v>7.1971529356406734</v>
      </c>
      <c r="P17" s="1">
        <f>Bottom!P24</f>
        <v>8.8125629997884847</v>
      </c>
      <c r="Q17" s="1">
        <f>Bottom!Q24</f>
        <v>7.1920570048389454</v>
      </c>
    </row>
  </sheetData>
  <mergeCells count="4">
    <mergeCell ref="D4:G4"/>
    <mergeCell ref="N4:Q4"/>
    <mergeCell ref="D13:G13"/>
    <mergeCell ref="N13:Q13"/>
  </mergeCells>
  <conditionalFormatting sqref="D6:G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:G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6:Q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5:Q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C4:Q19"/>
  <sheetViews>
    <sheetView topLeftCell="B1" workbookViewId="0">
      <selection activeCell="J15" sqref="J15"/>
    </sheetView>
  </sheetViews>
  <sheetFormatPr defaultRowHeight="14.5" x14ac:dyDescent="0.35"/>
  <cols>
    <col min="4" max="4" width="11.81640625" customWidth="1"/>
    <col min="5" max="5" width="13.26953125" customWidth="1"/>
    <col min="6" max="6" width="11" customWidth="1"/>
    <col min="14" max="14" width="11.81640625" customWidth="1"/>
    <col min="15" max="15" width="12.54296875" customWidth="1"/>
    <col min="16" max="16" width="11.54296875" customWidth="1"/>
  </cols>
  <sheetData>
    <row r="4" spans="3:17" x14ac:dyDescent="0.35">
      <c r="D4" s="13" t="s">
        <v>0</v>
      </c>
      <c r="E4" s="13"/>
      <c r="F4" s="13"/>
      <c r="G4" s="13"/>
      <c r="N4" s="13" t="s">
        <v>1</v>
      </c>
      <c r="O4" s="13"/>
      <c r="P4" s="13"/>
      <c r="Q4" s="13"/>
    </row>
    <row r="5" spans="3:17" x14ac:dyDescent="0.35">
      <c r="D5" s="2" t="s">
        <v>2</v>
      </c>
      <c r="E5" s="4" t="s">
        <v>3</v>
      </c>
      <c r="F5" s="3" t="s">
        <v>4</v>
      </c>
      <c r="G5" s="5" t="s">
        <v>5</v>
      </c>
      <c r="N5" s="2" t="s">
        <v>2</v>
      </c>
      <c r="O5" s="4" t="s">
        <v>3</v>
      </c>
      <c r="P5" s="3" t="s">
        <v>4</v>
      </c>
      <c r="Q5" s="5" t="s">
        <v>5</v>
      </c>
    </row>
    <row r="6" spans="3:17" x14ac:dyDescent="0.35">
      <c r="C6" s="9" t="s">
        <v>17</v>
      </c>
      <c r="D6" s="1">
        <f>Top!E6</f>
        <v>9.8000000000000004E-2</v>
      </c>
      <c r="E6" s="1">
        <f>Top!F6</f>
        <v>0.53600000000000003</v>
      </c>
      <c r="F6" s="1">
        <f>Top!G6</f>
        <v>5.6000000000000001E-2</v>
      </c>
      <c r="G6" s="1">
        <f>Top!H6</f>
        <v>0.19800000000000001</v>
      </c>
      <c r="M6" s="9" t="s">
        <v>17</v>
      </c>
      <c r="N6" s="1">
        <f>Top!N6</f>
        <v>-0.17699999999999999</v>
      </c>
      <c r="O6" s="1">
        <f>Top!O6</f>
        <v>0.186</v>
      </c>
      <c r="P6" s="1">
        <f>Top!P6</f>
        <v>-0.29399999999999998</v>
      </c>
      <c r="Q6" s="1">
        <f>Top!Q6</f>
        <v>-0.157</v>
      </c>
    </row>
    <row r="7" spans="3:17" x14ac:dyDescent="0.35">
      <c r="C7" s="9" t="s">
        <v>18</v>
      </c>
      <c r="D7" s="1">
        <f>Middle!E6</f>
        <v>0.26500000000000001</v>
      </c>
      <c r="E7" s="1">
        <f>Middle!F6</f>
        <v>0.626</v>
      </c>
      <c r="F7" s="1">
        <f>Middle!G6</f>
        <v>0.158</v>
      </c>
      <c r="G7" s="1">
        <f>Middle!H6</f>
        <v>0.316</v>
      </c>
      <c r="M7" s="9" t="s">
        <v>18</v>
      </c>
      <c r="N7" s="1">
        <f>Middle!N6</f>
        <v>-0.14000000000000001</v>
      </c>
      <c r="O7" s="1">
        <f>Middle!O6</f>
        <v>0.23300000000000001</v>
      </c>
      <c r="P7" s="1">
        <f>Middle!P6</f>
        <v>-0.23</v>
      </c>
      <c r="Q7" s="1">
        <f>Middle!Q6</f>
        <v>-7.0999999999999994E-2</v>
      </c>
    </row>
    <row r="8" spans="3:17" x14ac:dyDescent="0.35">
      <c r="C8" s="9" t="s">
        <v>19</v>
      </c>
      <c r="D8" s="1">
        <f>Bottom!E6</f>
        <v>0.36099999999999999</v>
      </c>
      <c r="E8" s="1">
        <f>Bottom!F6</f>
        <v>0.65400000000000003</v>
      </c>
      <c r="F8" s="1">
        <f>Bottom!G6</f>
        <v>0.192</v>
      </c>
      <c r="G8" s="1">
        <f>Bottom!H6</f>
        <v>0.34300000000000003</v>
      </c>
      <c r="M8" s="9" t="s">
        <v>19</v>
      </c>
      <c r="N8" s="1">
        <f>Bottom!N6</f>
        <v>-0.14199999999999999</v>
      </c>
      <c r="O8" s="1">
        <f>Bottom!O6</f>
        <v>0.23699999999999999</v>
      </c>
      <c r="P8" s="1">
        <f>Bottom!P6</f>
        <v>-0.27100000000000002</v>
      </c>
      <c r="Q8" s="1">
        <f>Bottom!Q6</f>
        <v>-6.3E-2</v>
      </c>
    </row>
    <row r="9" spans="3:17" x14ac:dyDescent="0.35">
      <c r="C9" s="9" t="s">
        <v>20</v>
      </c>
      <c r="D9" s="11">
        <f>AVERAGE(D6:D8)</f>
        <v>0.24133333333333332</v>
      </c>
      <c r="E9" s="10">
        <f t="shared" ref="E9:G9" si="0">AVERAGE(E6:E8)</f>
        <v>0.60533333333333328</v>
      </c>
      <c r="F9" s="10">
        <f t="shared" si="0"/>
        <v>0.13533333333333333</v>
      </c>
      <c r="G9" s="10">
        <f t="shared" si="0"/>
        <v>0.28566666666666668</v>
      </c>
      <c r="M9" s="9" t="s">
        <v>20</v>
      </c>
      <c r="N9" s="10">
        <f>AVERAGE(N6:N8)</f>
        <v>-0.153</v>
      </c>
      <c r="O9" s="10">
        <f t="shared" ref="O9:Q9" si="1">AVERAGE(O6:O8)</f>
        <v>0.21866666666666668</v>
      </c>
      <c r="P9" s="10">
        <f t="shared" si="1"/>
        <v>-0.26500000000000001</v>
      </c>
      <c r="Q9" s="10">
        <f t="shared" si="1"/>
        <v>-9.6999999999999989E-2</v>
      </c>
    </row>
    <row r="10" spans="3:17" x14ac:dyDescent="0.35">
      <c r="C10" s="9" t="s">
        <v>21</v>
      </c>
      <c r="D10" s="11">
        <f>_xlfn.STDEV.S(D6:D8)</f>
        <v>0.1330876903899581</v>
      </c>
      <c r="E10" s="10">
        <f t="shared" ref="E10:G10" si="2">_xlfn.STDEV.S(E6:E8)</f>
        <v>6.1654953842601584E-2</v>
      </c>
      <c r="F10" s="10">
        <f t="shared" si="2"/>
        <v>7.0776643981848478E-2</v>
      </c>
      <c r="G10" s="10">
        <f t="shared" si="2"/>
        <v>7.7112471970060367E-2</v>
      </c>
      <c r="M10" s="9" t="s">
        <v>21</v>
      </c>
      <c r="N10" s="10">
        <f>_xlfn.STDEV.S(N6:N8)</f>
        <v>2.0808652046684879E-2</v>
      </c>
      <c r="O10" s="10">
        <f t="shared" ref="O10:Q10" si="3">_xlfn.STDEV.S(O6:O8)</f>
        <v>2.8360771028541121E-2</v>
      </c>
      <c r="P10" s="10">
        <f t="shared" si="3"/>
        <v>3.2419130154894643E-2</v>
      </c>
      <c r="Q10" s="10">
        <f t="shared" si="3"/>
        <v>5.2115256883181547E-2</v>
      </c>
    </row>
    <row r="13" spans="3:17" x14ac:dyDescent="0.35">
      <c r="D13" s="13" t="s">
        <v>15</v>
      </c>
      <c r="E13" s="13"/>
      <c r="F13" s="13"/>
      <c r="G13" s="13"/>
      <c r="N13" s="13" t="s">
        <v>16</v>
      </c>
      <c r="O13" s="13"/>
      <c r="P13" s="13"/>
      <c r="Q13" s="13"/>
    </row>
    <row r="14" spans="3:17" x14ac:dyDescent="0.35">
      <c r="D14" s="2" t="s">
        <v>2</v>
      </c>
      <c r="E14" s="4" t="s">
        <v>3</v>
      </c>
      <c r="F14" s="3" t="s">
        <v>4</v>
      </c>
      <c r="G14" s="5" t="s">
        <v>5</v>
      </c>
      <c r="N14" s="2" t="s">
        <v>2</v>
      </c>
      <c r="O14" s="4" t="s">
        <v>3</v>
      </c>
      <c r="P14" s="3" t="s">
        <v>4</v>
      </c>
      <c r="Q14" s="5" t="s">
        <v>5</v>
      </c>
    </row>
    <row r="15" spans="3:17" x14ac:dyDescent="0.35">
      <c r="C15" s="9" t="s">
        <v>17</v>
      </c>
      <c r="D15" s="1">
        <f>Top!E18</f>
        <v>0.187</v>
      </c>
      <c r="E15" s="1">
        <f>Top!F18</f>
        <v>0.55100000000000005</v>
      </c>
      <c r="F15" s="1">
        <f>Top!G18</f>
        <v>4.7E-2</v>
      </c>
      <c r="G15" s="1">
        <f>Top!H18</f>
        <v>0.2</v>
      </c>
      <c r="M15" s="9" t="s">
        <v>17</v>
      </c>
      <c r="N15" s="1">
        <f>Top!N18</f>
        <v>-0.17</v>
      </c>
      <c r="O15" s="1">
        <f>Top!O18</f>
        <v>0.186</v>
      </c>
      <c r="P15" s="1">
        <f>Top!P18</f>
        <v>-0.312</v>
      </c>
      <c r="Q15" s="1">
        <f>Top!Q18</f>
        <v>-0.154</v>
      </c>
    </row>
    <row r="16" spans="3:17" x14ac:dyDescent="0.35">
      <c r="C16" s="9" t="s">
        <v>18</v>
      </c>
      <c r="D16" s="1">
        <f>Middle!E18</f>
        <v>0.27400000000000002</v>
      </c>
      <c r="E16" s="1">
        <f>Middle!F18</f>
        <v>0.627</v>
      </c>
      <c r="F16" s="1">
        <f>Middle!G18</f>
        <v>9.6000000000000002E-2</v>
      </c>
      <c r="G16" s="1">
        <f>Middle!H18</f>
        <v>0.29899999999999999</v>
      </c>
      <c r="M16" s="9" t="s">
        <v>18</v>
      </c>
      <c r="N16" s="1">
        <f>Middle!N18</f>
        <v>-0.13200000000000001</v>
      </c>
      <c r="O16" s="1">
        <f>Middle!O18</f>
        <v>0.22900000000000001</v>
      </c>
      <c r="P16" s="1">
        <f>Middle!P18</f>
        <v>-0.252</v>
      </c>
      <c r="Q16" s="1">
        <f>Middle!Q18</f>
        <v>-8.4000000000000005E-2</v>
      </c>
    </row>
    <row r="17" spans="3:17" x14ac:dyDescent="0.35">
      <c r="C17" s="9" t="s">
        <v>19</v>
      </c>
      <c r="D17" s="1">
        <f>Bottom!E18</f>
        <v>0.28699999999999998</v>
      </c>
      <c r="E17" s="1">
        <f>Bottom!F18</f>
        <v>0.67200000000000004</v>
      </c>
      <c r="F17" s="1">
        <f>Bottom!G18</f>
        <v>0.19600000000000001</v>
      </c>
      <c r="G17" s="1">
        <f>Bottom!H18</f>
        <v>0.34399999999999997</v>
      </c>
      <c r="M17" s="9" t="s">
        <v>19</v>
      </c>
      <c r="N17" s="1">
        <f>Bottom!N18</f>
        <v>-0.13400000000000001</v>
      </c>
      <c r="O17" s="1">
        <f>Bottom!O18</f>
        <v>0.23899999999999999</v>
      </c>
      <c r="P17" s="1">
        <f>Bottom!P18</f>
        <v>-0.217</v>
      </c>
      <c r="Q17" s="1">
        <f>Bottom!Q18</f>
        <v>-0.06</v>
      </c>
    </row>
    <row r="18" spans="3:17" x14ac:dyDescent="0.35">
      <c r="C18" s="9" t="s">
        <v>20</v>
      </c>
      <c r="D18" s="10">
        <f>AVERAGE(D15:D17)</f>
        <v>0.24933333333333332</v>
      </c>
      <c r="E18" s="10">
        <f t="shared" ref="E18:G18" si="4">AVERAGE(E15:E17)</f>
        <v>0.6166666666666667</v>
      </c>
      <c r="F18" s="10">
        <f t="shared" si="4"/>
        <v>0.113</v>
      </c>
      <c r="G18" s="10">
        <f t="shared" si="4"/>
        <v>0.28099999999999997</v>
      </c>
      <c r="M18" s="9" t="s">
        <v>20</v>
      </c>
      <c r="N18" s="10">
        <f>AVERAGE(N15:N17)</f>
        <v>-0.14533333333333334</v>
      </c>
      <c r="O18" s="10">
        <f t="shared" ref="O18:Q18" si="5">AVERAGE(O15:O17)</f>
        <v>0.218</v>
      </c>
      <c r="P18" s="10">
        <f t="shared" si="5"/>
        <v>-0.26033333333333336</v>
      </c>
      <c r="Q18" s="10">
        <f t="shared" si="5"/>
        <v>-9.9333333333333329E-2</v>
      </c>
    </row>
    <row r="19" spans="3:17" x14ac:dyDescent="0.35">
      <c r="C19" s="9" t="s">
        <v>21</v>
      </c>
      <c r="D19" s="10">
        <f>_xlfn.STDEV.S(D15:D17)</f>
        <v>5.4372174256078251E-2</v>
      </c>
      <c r="E19" s="10">
        <f t="shared" ref="E19:G19" si="6">_xlfn.STDEV.S(E15:E17)</f>
        <v>6.1158264636378724E-2</v>
      </c>
      <c r="F19" s="10">
        <f t="shared" si="6"/>
        <v>7.5940766390654793E-2</v>
      </c>
      <c r="G19" s="10">
        <f t="shared" si="6"/>
        <v>7.3668174946852058E-2</v>
      </c>
      <c r="M19" s="9" t="s">
        <v>21</v>
      </c>
      <c r="N19" s="10">
        <f>_xlfn.STDEV.S(N15:N17)</f>
        <v>2.1385353243127184E-2</v>
      </c>
      <c r="O19" s="10">
        <f t="shared" ref="O19:Q19" si="7">_xlfn.STDEV.S(O15:O17)</f>
        <v>2.8160255680657484E-2</v>
      </c>
      <c r="P19" s="10">
        <f t="shared" si="7"/>
        <v>4.8045117684665059E-2</v>
      </c>
      <c r="Q19" s="10">
        <f t="shared" si="7"/>
        <v>4.8839874419712985E-2</v>
      </c>
    </row>
  </sheetData>
  <mergeCells count="4">
    <mergeCell ref="D4:G4"/>
    <mergeCell ref="N4:Q4"/>
    <mergeCell ref="D13:G13"/>
    <mergeCell ref="N13:Q13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C4:Q17"/>
  <sheetViews>
    <sheetView topLeftCell="I1" workbookViewId="0">
      <selection activeCell="X21" sqref="X21"/>
    </sheetView>
  </sheetViews>
  <sheetFormatPr defaultRowHeight="14.5" x14ac:dyDescent="0.35"/>
  <cols>
    <col min="4" max="4" width="11.81640625" customWidth="1"/>
    <col min="5" max="5" width="13.26953125" customWidth="1"/>
    <col min="6" max="6" width="11" customWidth="1"/>
    <col min="14" max="14" width="11.81640625" customWidth="1"/>
    <col min="15" max="15" width="12.54296875" customWidth="1"/>
    <col min="16" max="16" width="11.54296875" customWidth="1"/>
  </cols>
  <sheetData>
    <row r="4" spans="3:17" x14ac:dyDescent="0.35">
      <c r="D4" s="13" t="s">
        <v>0</v>
      </c>
      <c r="E4" s="13"/>
      <c r="F4" s="13"/>
      <c r="G4" s="13"/>
      <c r="N4" s="13" t="s">
        <v>1</v>
      </c>
      <c r="O4" s="13"/>
      <c r="P4" s="13"/>
      <c r="Q4" s="13"/>
    </row>
    <row r="5" spans="3:17" x14ac:dyDescent="0.35">
      <c r="D5" s="2" t="s">
        <v>2</v>
      </c>
      <c r="E5" s="4" t="s">
        <v>3</v>
      </c>
      <c r="F5" s="3" t="s">
        <v>4</v>
      </c>
      <c r="G5" s="5" t="s">
        <v>5</v>
      </c>
      <c r="J5">
        <v>0.8</v>
      </c>
      <c r="N5" s="2" t="s">
        <v>2</v>
      </c>
      <c r="O5" s="4" t="s">
        <v>3</v>
      </c>
      <c r="P5" s="3" t="s">
        <v>4</v>
      </c>
      <c r="Q5" s="5" t="s">
        <v>5</v>
      </c>
    </row>
    <row r="6" spans="3:17" x14ac:dyDescent="0.35">
      <c r="C6" s="9" t="s">
        <v>17</v>
      </c>
      <c r="D6" s="1">
        <f>Top!E7</f>
        <v>879</v>
      </c>
      <c r="E6" s="1">
        <f>Top!F7</f>
        <v>921</v>
      </c>
      <c r="F6" s="1">
        <f>Top!G7</f>
        <v>765</v>
      </c>
      <c r="G6" s="1">
        <f>Top!H7</f>
        <v>866</v>
      </c>
      <c r="J6">
        <v>1</v>
      </c>
      <c r="L6">
        <v>2950</v>
      </c>
      <c r="M6" s="9" t="s">
        <v>17</v>
      </c>
      <c r="N6" s="1">
        <f>Top!N7</f>
        <v>1052</v>
      </c>
      <c r="O6" s="1">
        <f>Top!O7</f>
        <v>1086</v>
      </c>
      <c r="P6" s="1">
        <f>Top!P7</f>
        <v>925</v>
      </c>
      <c r="Q6" s="1">
        <f>Top!Q7</f>
        <v>1030</v>
      </c>
    </row>
    <row r="7" spans="3:17" x14ac:dyDescent="0.35">
      <c r="C7" s="9" t="s">
        <v>18</v>
      </c>
      <c r="D7" s="1">
        <f>Middle!E7</f>
        <v>945</v>
      </c>
      <c r="E7" s="1">
        <f>Middle!F7</f>
        <v>958</v>
      </c>
      <c r="F7" s="1">
        <f>Middle!G7</f>
        <v>788</v>
      </c>
      <c r="G7" s="1">
        <f>Middle!H7</f>
        <v>884</v>
      </c>
      <c r="J7">
        <v>1.2</v>
      </c>
      <c r="L7">
        <v>0</v>
      </c>
      <c r="M7" s="9" t="s">
        <v>18</v>
      </c>
      <c r="N7" s="1">
        <f>Middle!N7</f>
        <v>1096</v>
      </c>
      <c r="O7" s="1">
        <f>Middle!O7</f>
        <v>1125</v>
      </c>
      <c r="P7" s="1">
        <f>Middle!P7</f>
        <v>960</v>
      </c>
      <c r="Q7" s="1">
        <f>Middle!Q7</f>
        <v>1053</v>
      </c>
    </row>
    <row r="8" spans="3:17" x14ac:dyDescent="0.35">
      <c r="C8" s="9" t="s">
        <v>19</v>
      </c>
      <c r="D8" s="1">
        <f>Bottom!E7</f>
        <v>938</v>
      </c>
      <c r="E8" s="1">
        <f>Bottom!F7</f>
        <v>915</v>
      </c>
      <c r="F8" s="1">
        <f>Bottom!G7</f>
        <v>761</v>
      </c>
      <c r="G8" s="1">
        <f>Bottom!H7</f>
        <v>861</v>
      </c>
      <c r="J8">
        <v>1.8</v>
      </c>
      <c r="L8">
        <v>-2500</v>
      </c>
      <c r="M8" s="9" t="s">
        <v>19</v>
      </c>
      <c r="N8" s="1">
        <f>Bottom!N7</f>
        <v>1050</v>
      </c>
      <c r="O8" s="1">
        <f>Bottom!O7</f>
        <v>1093</v>
      </c>
      <c r="P8" s="1">
        <f>Bottom!P7</f>
        <v>927</v>
      </c>
      <c r="Q8" s="1">
        <f>Bottom!Q7</f>
        <v>1033</v>
      </c>
    </row>
    <row r="9" spans="3:17" x14ac:dyDescent="0.35">
      <c r="J9">
        <v>2</v>
      </c>
    </row>
    <row r="10" spans="3:17" x14ac:dyDescent="0.35">
      <c r="J10">
        <v>2.2000000000000002</v>
      </c>
    </row>
    <row r="11" spans="3:17" x14ac:dyDescent="0.35">
      <c r="J11">
        <v>2.8</v>
      </c>
    </row>
    <row r="12" spans="3:17" x14ac:dyDescent="0.35">
      <c r="J12">
        <v>3</v>
      </c>
    </row>
    <row r="13" spans="3:17" x14ac:dyDescent="0.35">
      <c r="D13" s="13" t="s">
        <v>15</v>
      </c>
      <c r="E13" s="13"/>
      <c r="F13" s="13"/>
      <c r="G13" s="13"/>
      <c r="J13">
        <v>3.2</v>
      </c>
      <c r="N13" s="13" t="s">
        <v>16</v>
      </c>
      <c r="O13" s="13"/>
      <c r="P13" s="13"/>
      <c r="Q13" s="13"/>
    </row>
    <row r="14" spans="3:17" x14ac:dyDescent="0.35">
      <c r="D14" s="2" t="s">
        <v>2</v>
      </c>
      <c r="E14" s="4" t="s">
        <v>3</v>
      </c>
      <c r="F14" s="3" t="s">
        <v>4</v>
      </c>
      <c r="G14" s="5" t="s">
        <v>5</v>
      </c>
      <c r="J14">
        <v>3.8</v>
      </c>
      <c r="N14" s="2" t="s">
        <v>2</v>
      </c>
      <c r="O14" s="4" t="s">
        <v>3</v>
      </c>
      <c r="P14" s="3" t="s">
        <v>4</v>
      </c>
      <c r="Q14" s="5" t="s">
        <v>5</v>
      </c>
    </row>
    <row r="15" spans="3:17" x14ac:dyDescent="0.35">
      <c r="C15" s="9" t="s">
        <v>17</v>
      </c>
      <c r="D15" s="1">
        <f>Top!E19</f>
        <v>883</v>
      </c>
      <c r="E15" s="1">
        <f>Top!F19</f>
        <v>929</v>
      </c>
      <c r="F15" s="1">
        <f>Top!G19</f>
        <v>768</v>
      </c>
      <c r="G15" s="1">
        <f>Top!H19</f>
        <v>865</v>
      </c>
      <c r="J15">
        <v>4</v>
      </c>
      <c r="M15" s="9" t="s">
        <v>17</v>
      </c>
      <c r="N15" s="1">
        <f>Top!N19</f>
        <v>1047</v>
      </c>
      <c r="O15" s="1">
        <f>Top!O19</f>
        <v>1101</v>
      </c>
      <c r="P15" s="1">
        <f>Top!P19</f>
        <v>944</v>
      </c>
      <c r="Q15" s="1">
        <f>Top!Q19</f>
        <v>1027</v>
      </c>
    </row>
    <row r="16" spans="3:17" x14ac:dyDescent="0.35">
      <c r="C16" s="9" t="s">
        <v>18</v>
      </c>
      <c r="D16" s="1">
        <f>Middle!E19</f>
        <v>927</v>
      </c>
      <c r="E16" s="1">
        <f>Middle!F19</f>
        <v>971</v>
      </c>
      <c r="F16" s="1">
        <f>Middle!G19</f>
        <v>779</v>
      </c>
      <c r="G16" s="1">
        <f>Middle!H19</f>
        <v>887</v>
      </c>
      <c r="J16">
        <v>4.2</v>
      </c>
      <c r="M16" s="9" t="s">
        <v>18</v>
      </c>
      <c r="N16" s="1">
        <f>Middle!N19</f>
        <v>1101</v>
      </c>
      <c r="O16" s="1">
        <f>Middle!O19</f>
        <v>1140</v>
      </c>
      <c r="P16" s="1">
        <f>Middle!P19</f>
        <v>980</v>
      </c>
      <c r="Q16" s="1">
        <f>Middle!Q19</f>
        <v>1055</v>
      </c>
    </row>
    <row r="17" spans="3:17" x14ac:dyDescent="0.35">
      <c r="C17" s="9" t="s">
        <v>19</v>
      </c>
      <c r="D17" s="1">
        <f>Bottom!E19</f>
        <v>878</v>
      </c>
      <c r="E17" s="1">
        <f>Bottom!F19</f>
        <v>908</v>
      </c>
      <c r="F17" s="1">
        <f>Bottom!G19</f>
        <v>759</v>
      </c>
      <c r="G17" s="1">
        <f>Bottom!H19</f>
        <v>863</v>
      </c>
      <c r="M17" s="9" t="s">
        <v>19</v>
      </c>
      <c r="N17" s="1">
        <f>Bottom!N19</f>
        <v>1058</v>
      </c>
      <c r="O17" s="1">
        <f>Bottom!O19</f>
        <v>1094</v>
      </c>
      <c r="P17" s="1">
        <f>Bottom!P19</f>
        <v>921</v>
      </c>
      <c r="Q17" s="1">
        <f>Bottom!Q19</f>
        <v>1033</v>
      </c>
    </row>
  </sheetData>
  <mergeCells count="4">
    <mergeCell ref="D4:G4"/>
    <mergeCell ref="N4:Q4"/>
    <mergeCell ref="D13:G13"/>
    <mergeCell ref="N13:Q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12</vt:i4>
      </vt:variant>
    </vt:vector>
  </HeadingPairs>
  <TitlesOfParts>
    <vt:vector size="12" baseType="lpstr">
      <vt:lpstr>Top</vt:lpstr>
      <vt:lpstr>Middle</vt:lpstr>
      <vt:lpstr>Bottom</vt:lpstr>
      <vt:lpstr>Schweppes</vt:lpstr>
      <vt:lpstr>Fluorescein</vt:lpstr>
      <vt:lpstr>Rhodomine</vt:lpstr>
      <vt:lpstr>Nile Blue</vt:lpstr>
      <vt:lpstr>FWHM</vt:lpstr>
      <vt:lpstr>FOV</vt:lpstr>
      <vt:lpstr>Raxial</vt:lpstr>
      <vt:lpstr>Angle Tilt</vt:lpstr>
      <vt:lpstr>Focus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2026-07-01T16:42:32Z</dcterms:modified>
  <cp:category/>
  <cp:contentStatus/>
</cp:coreProperties>
</file>